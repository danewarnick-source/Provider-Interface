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How it works" state="visible" r:id="rId4"/>
    <sheet sheetId="2" name="2. Access levels" state="visible" r:id="rId5"/>
    <sheet sheetId="3" name="3. Presets matrix" state="visible" r:id="rId6"/>
    <sheet sheetId="4" name="4. Scope rules" state="visible" r:id="rId7"/>
    <sheet sheetId="5" name="5. Old 83 to new" state="visible" r:id="rId8"/>
    <sheet sheetId="6" name="6. Count check" state="visible" r:id="rId9"/>
    <sheet sheetId="7" name="Lists" state="visible" r:id="rId10"/>
  </sheets>
  <calcPr calcId="171027" fullCalcOnLoad="1"/>
</workbook>
</file>

<file path=xl/comments7.xml><?xml version="1.0" encoding="utf-8"?>
<comments xmlns="http://schemas.openxmlformats.org/spreadsheetml/2006/main">
  <authors>
    <author>Author</author>
  </authors>
  <commentList>
    <comment ref="F1" authorId="0">
      <text>
        <r>
          <t>Filled automatically from the Presets matrix. Rename categories there, not here.</t>
        </r>
      </text>
    </comment>
  </commentList>
</comments>
</file>

<file path=xl/sharedStrings.xml><?xml version="1.0" encoding="utf-8"?>
<sst xmlns="http://schemas.openxmlformats.org/spreadsheetml/2006/main" count="941" uniqueCount="352">
  <si>
    <t>HIVE access model (proposal)</t>
  </si>
  <si>
    <t/>
  </si>
  <si>
    <t>The idea in one line</t>
  </si>
  <si>
    <t>Every person gets ONE access level, a SHORT list of on/off categories (about 15 instead of 83), and a SCOPE that says WHOSE information those categories apply to.</t>
  </si>
  <si>
    <t>1. Access level</t>
  </si>
  <si>
    <t>Owner, Admin, Staff, or Guest. Fixed by HIVE. Sets the ceiling of what's possible. See sheet 2.</t>
  </si>
  <si>
    <t>2. Categories</t>
  </si>
  <si>
    <t>About 15 broad switches (Billing, Documentation, Scheduling…). Each is Off / View / Edit. Edit = create, change, approve, and export.</t>
  </si>
  <si>
    <t>3. Scope</t>
  </si>
  <si>
    <t>WHO the categories apply to: Whole agency, Assigned homes, Assigned staff, Assigned clients, or Only themselves. Homes, staff and clients can be combined. See sheet 4.</t>
  </si>
  <si>
    <t>4. Preset</t>
  </si>
  <si>
    <t>A saved combination of level + categories + scope type, named by the agency ("Supervisor", "Manager", "Lead"…). Pick a preset when you hire; tweak per person if needed. See sheet 3.</t>
  </si>
  <si>
    <t>5. Job title</t>
  </si>
  <si>
    <t>Free text for display (profile, roster, face sheet). Has NO effect on access.</t>
  </si>
  <si>
    <t>6. Staff type</t>
  </si>
  <si>
    <t>DSP, Host Home Provider, etc. Drives which compliance items they owe. Has NO effect on access.</t>
  </si>
  <si>
    <t>Example</t>
  </si>
  <si>
    <t>Sarah is the Maple House manager. Level = Admin. Preset = Group Home Manager. Scope = Maple House. She sees billing, documentation, schedules and timesheets for every Maple House client and staffer, and nothing for anyone else in the company.</t>
  </si>
  <si>
    <t>How to read sheet 3</t>
  </si>
  <si>
    <t>Green = Edit, Blue = View, Grey = Off, Purple = Owner only (can't be granted to anyone else). Presets are examples; agencies rename, copy and adjust them.</t>
  </si>
  <si>
    <t>Editing</t>
  </si>
  <si>
    <t>Every value cell has a dropdown, colors update when you change them, and the Lists tab controls what's in each dropdown. Blank rows and Custom preset columns are ready for new categories/presets.</t>
  </si>
  <si>
    <t>How to read sheet 5</t>
  </si>
  <si>
    <t>Every one of today's 83 permissions, and which new category + action it folds into. Nothing is lost; it's regrouped.</t>
  </si>
  <si>
    <t>Level</t>
  </si>
  <si>
    <t>Who it's for</t>
  </si>
  <si>
    <t>What's locked / guaranteed</t>
  </si>
  <si>
    <t>Customizable?</t>
  </si>
  <si>
    <t>Default scope</t>
  </si>
  <si>
    <t>Owner</t>
  </si>
  <si>
    <t>Business owners and the few people who hold the keys.</t>
  </si>
  <si>
    <t>Always has everything; can't be edited or locked out. Only Owners: billing/subscription, agency settings, permissions, promoting/demoting Owners and Admins, deleting the agency. At least 1 Owner required.</t>
  </si>
  <si>
    <t>No. Owners are always full access.</t>
  </si>
  <si>
    <t>Whole agency (locked)</t>
  </si>
  <si>
    <t>Admin</t>
  </si>
  <si>
    <t>Anyone who works in the web dashboard: program managers, home managers, HR, billing, office.</t>
  </si>
  <si>
    <t>Can never touch Agency settings &amp; permissions. Can't edit Owners. Can't give anyone a permission they don't have themselves.</t>
  </si>
  <si>
    <t>Yes: every category Off/View/Edit, plus scope.</t>
  </si>
  <si>
    <t>Set by preset</t>
  </si>
  <si>
    <t>Staff</t>
  </si>
  <si>
    <t>DSPs and other direct-care staff who use the phone app.</t>
  </si>
  <si>
    <t>Phone app only; no web dashboard. Can see only their own record and today's clients unless given a scope.</t>
  </si>
  <si>
    <t>Limited: categories up to View, Documentation up to Edit (e.g. a Lead DSP approving notes in the app).</t>
  </si>
  <si>
    <t>Only themselves</t>
  </si>
  <si>
    <t>Guest</t>
  </si>
  <si>
    <t>Outside people: HRC committee members, auditors, later maybe guardians.</t>
  </si>
  <si>
    <t>Read-only. Can never edit clients, staff, billing or payroll. Only HRC can be Edit.</t>
  </si>
  <si>
    <t>Only which clients they're assigned to.</t>
  </si>
  <si>
    <t>Assigned clients</t>
  </si>
  <si>
    <t>Category</t>
  </si>
  <si>
    <t>What it covers</t>
  </si>
  <si>
    <t>Limited by scope?</t>
  </si>
  <si>
    <t>Program Manager</t>
  </si>
  <si>
    <t>Group Home Manager</t>
  </si>
  <si>
    <t>HR / Office</t>
  </si>
  <si>
    <t>Billing</t>
  </si>
  <si>
    <t>DSP</t>
  </si>
  <si>
    <t>Lead DSP</t>
  </si>
  <si>
    <t>HRC Committee</t>
  </si>
  <si>
    <t>Custom preset 1</t>
  </si>
  <si>
    <t>Custom preset 2</t>
  </si>
  <si>
    <t>Custom preset 3</t>
  </si>
  <si>
    <t>Access level</t>
  </si>
  <si>
    <t>Scope (whose info)</t>
  </si>
  <si>
    <t>Whole agency</t>
  </si>
  <si>
    <t>Assigned homes</t>
  </si>
  <si>
    <t>Whole agency (staff only)</t>
  </si>
  <si>
    <t>Assigned home</t>
  </si>
  <si>
    <t>Staff roster &amp; profiles</t>
  </si>
  <si>
    <t>See the staff list, open profiles, edit names/phone/hire date/job title.</t>
  </si>
  <si>
    <t>Yes</t>
  </si>
  <si>
    <t>Edit</t>
  </si>
  <si>
    <t>View</t>
  </si>
  <si>
    <t>Off</t>
  </si>
  <si>
    <t>Hire &amp; deactivate staff</t>
  </si>
  <si>
    <t>Add employee, upload roster, send invites, reset passwords, deactivate/reactivate.</t>
  </si>
  <si>
    <t>Staff compliance file &amp; training</t>
  </si>
  <si>
    <t>Staff file items, evidence uploads, cert approvals, assigning training, courses.</t>
  </si>
  <si>
    <t>Clients &amp; charts</t>
  </si>
  <si>
    <t>Client list, chart, goals, client documents, intake.</t>
  </si>
  <si>
    <t>Client medical &amp; medications</t>
  </si>
  <si>
    <t>Diagnoses, medical info, medication list, eMAR admin.</t>
  </si>
  <si>
    <t>Documentation review</t>
  </si>
  <si>
    <t>Shift notes, daily logs, form submissions: read, correct, approve.</t>
  </si>
  <si>
    <t>Incidents</t>
  </si>
  <si>
    <t>Incident reports: read, manage, export.</t>
  </si>
  <si>
    <t>HRC / rights restrictions</t>
  </si>
  <si>
    <t>Human Rights Committee reviews and rights-modification records.</t>
  </si>
  <si>
    <t>Scheduling</t>
  </si>
  <si>
    <t>See the schedule, create/edit/delete shifts, approve swaps, recurring shifts.</t>
  </si>
  <si>
    <t>Timesheets &amp; EVV</t>
  </si>
  <si>
    <t>See/approve/edit timesheets, EVV export.</t>
  </si>
  <si>
    <t>Billing, claims, authorizations (1056), service codes.</t>
  </si>
  <si>
    <t>Payroll</t>
  </si>
  <si>
    <t>Payroll runs and pay data.</t>
  </si>
  <si>
    <t>Financial reports</t>
  </si>
  <si>
    <t>Gross revenue, RHS financials, employee cost reports.</t>
  </si>
  <si>
    <t>Reports, analytics &amp; audit trail</t>
  </si>
  <si>
    <t>Dashboards, CSV reports, practice audit, audit trail.</t>
  </si>
  <si>
    <t>Hosts &amp; referrals</t>
  </si>
  <si>
    <t>Host Home Provider cards, referrals / CRM.</t>
  </si>
  <si>
    <t>Employee loans</t>
  </si>
  <si>
    <t>Loan agreements, e-signature, loan ledger.</t>
  </si>
  <si>
    <t>Agency settings &amp; permissions</t>
  </si>
  <si>
    <t>Agency setup, form builder, access levels, presets, permissions, email sending.</t>
  </si>
  <si>
    <t>No — whole agency</t>
  </si>
  <si>
    <t>Owner only</t>
  </si>
  <si>
    <t>Phone app basics</t>
  </si>
  <si>
    <t>Clock in/out, own timesheets, shift notes, daily logs, forms, incidents, eMAR, own training/certs.</t>
  </si>
  <si>
    <t>Own work only</t>
  </si>
  <si>
    <t>On</t>
  </si>
  <si>
    <t>How to edit</t>
  </si>
  <si>
    <t>Click any Edit/View/Off cell, the Access level row, the Scope row, or the 'Limited by scope?' column: a dropdown arrow appears. Colors update automatically.</t>
  </si>
  <si>
    <t>Rename a preset or category by typing over its name (headers are plain text). Blank rows and the 'Custom preset' columns are ready for new ones.</t>
  </si>
  <si>
    <t>To change what's IN a dropdown (e.g. add 'Approve only' or a new scope option), edit the Lists tab. New options appear in the dropdowns right away.</t>
  </si>
  <si>
    <t>Legend</t>
  </si>
  <si>
    <t>Edit = create, change, approve, export.  View = read only.  Off = hidden.  Owner only = cannot be granted to anyone else.</t>
  </si>
  <si>
    <t>Staff presets: View/Edit here happens inside the phone app, not the web dashboard. Guest presets: read-only except HRC.</t>
  </si>
  <si>
    <t>Scope option</t>
  </si>
  <si>
    <t>What they can see</t>
  </si>
  <si>
    <t>Every client and staffer in the agency, for each category they have on.</t>
  </si>
  <si>
    <t>Program Manager sees billing for all homes.</t>
  </si>
  <si>
    <t>Everyone tied to the home(s) they're assigned: clients who live/are served there, staff on that home's team or scheduled there, and that home's shifts, timesheets, notes, incidents and billing.</t>
  </si>
  <si>
    <t>Maple House manager: all Maple House clients and staff; nothing from Oak House.</t>
  </si>
  <si>
    <t>Assigned staff</t>
  </si>
  <si>
    <t>Specific staff and/or admins picked by name (the Connecteam model). Unlocks THEIR records only: profile, schedule, timesheets, pay, compliance file, training — for whichever categories are on. Does NOT unlock the clients those staff serve.</t>
  </si>
  <si>
    <t>HR lead is assigned 3 office admins; a home manager is also assigned one floater DSP.</t>
  </si>
  <si>
    <t>Specific clients picked by name. Unlocks THEIR records only: chart, medical, notes/logs about them, incidents, HRC, billing — for whichever categories are on. Shows the names of staff who worked with them, but not those staff's full profiles or pay.</t>
  </si>
  <si>
    <t>A behavior specialist is assigned 4 clients across different homes.</t>
  </si>
  <si>
    <t>Combining</t>
  </si>
  <si>
    <t>Homes, assigned staff and assigned clients stack: the person sees everyone in ANY of their lists. Nothing is unlocked indirectly (seeing a staffer never reveals their clients, and seeing a client never reveals their staff's pay).</t>
  </si>
  <si>
    <t>Maple House manager + one floater DSP + one client who attends day program elsewhere.</t>
  </si>
  <si>
    <t>Their own profile, schedule, timesheets and training, plus the clients on their shift today.</t>
  </si>
  <si>
    <t>A DSP on the phone app.</t>
  </si>
  <si>
    <t>Tricky case</t>
  </si>
  <si>
    <t>Suggested rule</t>
  </si>
  <si>
    <t>Why</t>
  </si>
  <si>
    <t>Staffer works at two homes</t>
  </si>
  <si>
    <t>Each manager sees the person's profile, but only the shifts, timesheets, notes and pay lines from their own home.</t>
  </si>
  <si>
    <t>Managers need to manage the person without seeing the other home's clients.</t>
  </si>
  <si>
    <t>Floater / on-call DSP</t>
  </si>
  <si>
    <t>Add them to a manager as Assigned staff, or leave them whole-agency for Program Managers only.</t>
  </si>
  <si>
    <t>Avoids inventing a fake 'home' for floaters.</t>
  </si>
  <si>
    <t>Client moves homes</t>
  </si>
  <si>
    <t>The new home's manager gets the chart from the move date forward; the old manager keeps read-only history up to the move date.</t>
  </si>
  <si>
    <t>Billing and notes stay with the home that delivered the service.</t>
  </si>
  <si>
    <t>Client has services in two places (e.g. home + SEI day program)</t>
  </si>
  <si>
    <t>Each manager sees the client, but billing/notes only for the service codes delivered at their location.</t>
  </si>
  <si>
    <t>Matches how billing is split by service code.</t>
  </si>
  <si>
    <t>An Admin supervises other Admins</t>
  </si>
  <si>
    <t>Allowed: assign Admins as Assigned staff. They see those Admins' staff records, not their permissions.</t>
  </si>
  <si>
    <t>Only Owners change access.</t>
  </si>
  <si>
    <t>Who can change scopes?</t>
  </si>
  <si>
    <t>Owners only (it's part of Agency settings &amp; permissions).</t>
  </si>
  <si>
    <t>Stops a manager widening their own view.</t>
  </si>
  <si>
    <t>Today's group</t>
  </si>
  <si>
    <t>Today's permission (as shown on profile)</t>
  </si>
  <si>
    <t>Internal key</t>
  </si>
  <si>
    <t>New category (dropdown)</t>
  </si>
  <si>
    <t>Counts as (dropdown)</t>
  </si>
  <si>
    <t>Note</t>
  </si>
  <si>
    <t>People &amp; Files</t>
  </si>
  <si>
    <t>Invite staff</t>
  </si>
  <si>
    <t>invite_staff</t>
  </si>
  <si>
    <t>View staff records</t>
  </si>
  <si>
    <t>view_staff_records</t>
  </si>
  <si>
    <t>Edit staff records</t>
  </si>
  <si>
    <t>edit_staff_records</t>
  </si>
  <si>
    <t>Manage staff roles</t>
  </si>
  <si>
    <t>manage_staff_roles</t>
  </si>
  <si>
    <t>Deactivate staff</t>
  </si>
  <si>
    <t>deactivate_staff</t>
  </si>
  <si>
    <t>View staff documents</t>
  </si>
  <si>
    <t>view_staff_documents</t>
  </si>
  <si>
    <t>Upload staff documents</t>
  </si>
  <si>
    <t>upload_staff_documents</t>
  </si>
  <si>
    <t>Approve staff documents</t>
  </si>
  <si>
    <t>approve_staff_documents</t>
  </si>
  <si>
    <t>View clients</t>
  </si>
  <si>
    <t>view_clients</t>
  </si>
  <si>
    <t>Edit client records</t>
  </si>
  <si>
    <t>edit_client_records</t>
  </si>
  <si>
    <t>Manage client intake</t>
  </si>
  <si>
    <t>manage_client_intake</t>
  </si>
  <si>
    <t>View client medical info</t>
  </si>
  <si>
    <t>view_client_medical</t>
  </si>
  <si>
    <t>Edit client medical info</t>
  </si>
  <si>
    <t>edit_client_medical</t>
  </si>
  <si>
    <t>View client documents</t>
  </si>
  <si>
    <t>view_client_documents</t>
  </si>
  <si>
    <t>Manage client documents</t>
  </si>
  <si>
    <t>manage_client_documents</t>
  </si>
  <si>
    <t>Manage client goals</t>
  </si>
  <si>
    <t>manage_client_goals</t>
  </si>
  <si>
    <t>Edit shift notes</t>
  </si>
  <si>
    <t>edit_shift_notes</t>
  </si>
  <si>
    <t>Approve shift notes</t>
  </si>
  <si>
    <t>approve_shift_notes</t>
  </si>
  <si>
    <t>View daily logs</t>
  </si>
  <si>
    <t>view_daily_logs</t>
  </si>
  <si>
    <t>Approve daily logs</t>
  </si>
  <si>
    <t>approve_daily_logs</t>
  </si>
  <si>
    <t>Manage forms</t>
  </si>
  <si>
    <t>manage_forms</t>
  </si>
  <si>
    <t>Form builder is agency setup</t>
  </si>
  <si>
    <t>View form submissions</t>
  </si>
  <si>
    <t>view_form_submissions</t>
  </si>
  <si>
    <t>Approve form submissions</t>
  </si>
  <si>
    <t>approve_form_submissions</t>
  </si>
  <si>
    <t>View compliance dashboard</t>
  </si>
  <si>
    <t>view_compliance_dashboard</t>
  </si>
  <si>
    <t>File staff documents</t>
  </si>
  <si>
    <t>file_staff_documents</t>
  </si>
  <si>
    <t>Manage obligations</t>
  </si>
  <si>
    <t>manage_obligations</t>
  </si>
  <si>
    <t>View audit trail</t>
  </si>
  <si>
    <t>view_audit_trail</t>
  </si>
  <si>
    <t>View incidents</t>
  </si>
  <si>
    <t>view_incidents</t>
  </si>
  <si>
    <t>Manage incidents</t>
  </si>
  <si>
    <t>manage_incidents</t>
  </si>
  <si>
    <t>Export incident reports</t>
  </si>
  <si>
    <t>export_incident_reports</t>
  </si>
  <si>
    <t>Manage medications</t>
  </si>
  <si>
    <t>manage_medications</t>
  </si>
  <si>
    <t>View HRC</t>
  </si>
  <si>
    <t>view_hrc</t>
  </si>
  <si>
    <t>Manage HRC</t>
  </si>
  <si>
    <t>manage_hrc</t>
  </si>
  <si>
    <t>Manage organization settings</t>
  </si>
  <si>
    <t>manage_organization_settings</t>
  </si>
  <si>
    <t>Manage service codes</t>
  </si>
  <si>
    <t>manage_service_codes</t>
  </si>
  <si>
    <t>View analytics</t>
  </si>
  <si>
    <t>view_analytics</t>
  </si>
  <si>
    <t>Export reports</t>
  </si>
  <si>
    <t>export_reports</t>
  </si>
  <si>
    <t>Manage permissions</t>
  </si>
  <si>
    <t>manage_permissions</t>
  </si>
  <si>
    <t>Manage roles &amp; permissions (legacy)</t>
  </si>
  <si>
    <t>manage_roles</t>
  </si>
  <si>
    <t>Legacy duplicate — retire</t>
  </si>
  <si>
    <t>Assign training</t>
  </si>
  <si>
    <t>assign_training</t>
  </si>
  <si>
    <t>Create courses</t>
  </si>
  <si>
    <t>create_courses</t>
  </si>
  <si>
    <t>Edit courses</t>
  </si>
  <si>
    <t>edit_courses</t>
  </si>
  <si>
    <t>Manage certifications</t>
  </si>
  <si>
    <t>manage_certifications</t>
  </si>
  <si>
    <t>Manage training programs</t>
  </si>
  <si>
    <t>manage_programs</t>
  </si>
  <si>
    <t>Approve external certifications</t>
  </si>
  <si>
    <t>approve_external_certs</t>
  </si>
  <si>
    <t>View team reports</t>
  </si>
  <si>
    <t>view_team_reports</t>
  </si>
  <si>
    <t>Manage organization (legacy)</t>
  </si>
  <si>
    <t>manage_organization</t>
  </si>
  <si>
    <t>View platform metrics</t>
  </si>
  <si>
    <t>view_platform_metrics</t>
  </si>
  <si>
    <t>(HIVE internal)</t>
  </si>
  <si>
    <t>Remove</t>
  </si>
  <si>
    <t>HIVE staff only; hide from agencies</t>
  </si>
  <si>
    <t>Manage all organizations</t>
  </si>
  <si>
    <t>manage_all_orgs</t>
  </si>
  <si>
    <t>View referrals (CRM)</t>
  </si>
  <si>
    <t>view_referrals</t>
  </si>
  <si>
    <t>Manage referrals (CRM)</t>
  </si>
  <si>
    <t>manage_referrals</t>
  </si>
  <si>
    <t>Send emails (Resend rail)</t>
  </si>
  <si>
    <t>send_emails</t>
  </si>
  <si>
    <t>Schedule &amp; Money</t>
  </si>
  <si>
    <t>View schedule</t>
  </si>
  <si>
    <t>view_schedule</t>
  </si>
  <si>
    <t>Create shifts</t>
  </si>
  <si>
    <t>create_shifts</t>
  </si>
  <si>
    <t>Edit shifts</t>
  </si>
  <si>
    <t>edit_shifts</t>
  </si>
  <si>
    <t>Delete shifts</t>
  </si>
  <si>
    <t>delete_shifts</t>
  </si>
  <si>
    <t>Approve shift swaps</t>
  </si>
  <si>
    <t>approve_shift_swaps</t>
  </si>
  <si>
    <t>Manage recurring shifts</t>
  </si>
  <si>
    <t>manage_recurring_shifts</t>
  </si>
  <si>
    <t>View team timesheets</t>
  </si>
  <si>
    <t>view_team_timesheets</t>
  </si>
  <si>
    <t>"Team" vs "all" is now decided by scope</t>
  </si>
  <si>
    <t>View all timesheets</t>
  </si>
  <si>
    <t>view_all_timesheets</t>
  </si>
  <si>
    <t>Approve timesheets</t>
  </si>
  <si>
    <t>approve_timesheets</t>
  </si>
  <si>
    <t>Edit timesheets</t>
  </si>
  <si>
    <t>edit_timesheets</t>
  </si>
  <si>
    <t>Export EVV data</t>
  </si>
  <si>
    <t>export_evv</t>
  </si>
  <si>
    <t>View billing</t>
  </si>
  <si>
    <t>view_billing</t>
  </si>
  <si>
    <t>Manage billing</t>
  </si>
  <si>
    <t>manage_billing</t>
  </si>
  <si>
    <t>View payroll</t>
  </si>
  <si>
    <t>view_payroll</t>
  </si>
  <si>
    <t>Manage payroll</t>
  </si>
  <si>
    <t>manage_payroll</t>
  </si>
  <si>
    <t>View financial reports</t>
  </si>
  <si>
    <t>view_financial_reports</t>
  </si>
  <si>
    <t>Export financial reports</t>
  </si>
  <si>
    <t>export_financial_reports</t>
  </si>
  <si>
    <t>View Financial — Gross</t>
  </si>
  <si>
    <t>view_financial_tns_gross</t>
  </si>
  <si>
    <t>View Financial — RHS</t>
  </si>
  <si>
    <t>view_financial_rhs</t>
  </si>
  <si>
    <t>View Financial — Employees</t>
  </si>
  <si>
    <t>view_financial_employees</t>
  </si>
  <si>
    <t>Staff Phone</t>
  </si>
  <si>
    <t>View own timesheets</t>
  </si>
  <si>
    <t>view_own_timesheets</t>
  </si>
  <si>
    <t>Submit shift notes</t>
  </si>
  <si>
    <t>submit_shift_notes</t>
  </si>
  <si>
    <t>Submit daily logs</t>
  </si>
  <si>
    <t>submit_daily_logs</t>
  </si>
  <si>
    <t>Submit forms</t>
  </si>
  <si>
    <t>submit_forms</t>
  </si>
  <si>
    <t>Complete obligations</t>
  </si>
  <si>
    <t>complete_obligations</t>
  </si>
  <si>
    <t>Report incidents</t>
  </si>
  <si>
    <t>report_incidents</t>
  </si>
  <si>
    <t>View eMAR</t>
  </si>
  <si>
    <t>view_emar</t>
  </si>
  <si>
    <t>Submit eMAR</t>
  </si>
  <si>
    <t>submit_emar</t>
  </si>
  <si>
    <t>Upload external certifications</t>
  </si>
  <si>
    <t>upload_external_certs</t>
  </si>
  <si>
    <t>View own training</t>
  </si>
  <si>
    <t>view_own_training</t>
  </si>
  <si>
    <t>View certifications</t>
  </si>
  <si>
    <t>view_certifications</t>
  </si>
  <si>
    <t>New category</t>
  </si>
  <si>
    <t>Old permissions folded in</t>
  </si>
  <si>
    <t>Total</t>
  </si>
  <si>
    <t>Updates automatically when you rename a category on the Presets matrix or change a row on sheet 5. Total should stay 83.</t>
  </si>
  <si>
    <t>Permission values</t>
  </si>
  <si>
    <t>Phone values</t>
  </si>
  <si>
    <t>Access levels</t>
  </si>
  <si>
    <t>Scope options</t>
  </si>
  <si>
    <t>Categories (auto from matrix)</t>
  </si>
  <si>
    <t>Counts as</t>
  </si>
  <si>
    <t>Whole agency (clients only)</t>
  </si>
  <si>
    <t>Homes + assigned staff</t>
  </si>
  <si>
    <t>Homes + assigned clients</t>
  </si>
  <si>
    <t>Homes + staff + clients</t>
  </si>
  <si>
    <t>Assigned staff + clients</t>
  </si>
  <si>
    <t>Type new options at the bottom of any column (A–E, G) and they show up in the dropdowns. Column F copies the category names from the Presets matrix.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</si>
</sst>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b/>
    </font>
    <font>
      <b/>
      <color rgb="FFFFFFFF"/>
    </font>
    <font>
      <sz val="9"/>
      <name val="Consolas"/>
    </font>
    <font>
      <i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/>
    <xf numFmtId="0" fontId="5" fillId="0" borderId="0" xfId="0" applyFont="1"/>
  </cellXfs>
  <cellStyles count="1">
    <cellStyle name="Normal" xfId="0" builtinId="0"/>
  </cellStyles>
  <dxfs count="10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DEDED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E4D7F5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E4D7F5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110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s="2" t="s">
        <v>1</v>
      </c>
      <c r="B2" s="3" t="s">
        <v>1</v>
      </c>
    </row>
    <row r="3" spans="1:2" x14ac:dyDescent="0.25">
      <c r="A3" s="2" t="s">
        <v>2</v>
      </c>
      <c r="B3" s="3" t="s">
        <v>3</v>
      </c>
    </row>
    <row r="4" spans="1:2" x14ac:dyDescent="0.25">
      <c r="A4" s="2" t="s">
        <v>1</v>
      </c>
      <c r="B4" s="3" t="s">
        <v>1</v>
      </c>
    </row>
    <row r="5" spans="1:2" x14ac:dyDescent="0.25">
      <c r="A5" s="2" t="s">
        <v>4</v>
      </c>
      <c r="B5" s="3" t="s">
        <v>5</v>
      </c>
    </row>
    <row r="6" spans="1:2" x14ac:dyDescent="0.25">
      <c r="A6" s="2" t="s">
        <v>6</v>
      </c>
      <c r="B6" s="3" t="s">
        <v>7</v>
      </c>
    </row>
    <row r="7" spans="1:2" x14ac:dyDescent="0.25">
      <c r="A7" s="2" t="s">
        <v>8</v>
      </c>
      <c r="B7" s="3" t="s">
        <v>9</v>
      </c>
    </row>
    <row r="8" spans="1:2" x14ac:dyDescent="0.25">
      <c r="A8" s="2" t="s">
        <v>10</v>
      </c>
      <c r="B8" s="3" t="s">
        <v>11</v>
      </c>
    </row>
    <row r="9" spans="1:2" x14ac:dyDescent="0.25">
      <c r="A9" s="2" t="s">
        <v>12</v>
      </c>
      <c r="B9" s="3" t="s">
        <v>13</v>
      </c>
    </row>
    <row r="10" spans="1:2" x14ac:dyDescent="0.25">
      <c r="A10" s="2" t="s">
        <v>14</v>
      </c>
      <c r="B10" s="3" t="s">
        <v>15</v>
      </c>
    </row>
    <row r="11" spans="1:2" x14ac:dyDescent="0.25">
      <c r="A11" s="2" t="s">
        <v>1</v>
      </c>
      <c r="B11" s="3" t="s">
        <v>1</v>
      </c>
    </row>
    <row r="12" spans="1:2" x14ac:dyDescent="0.25">
      <c r="A12" s="2" t="s">
        <v>16</v>
      </c>
      <c r="B12" s="3" t="s">
        <v>17</v>
      </c>
    </row>
    <row r="13" spans="1:2" x14ac:dyDescent="0.25">
      <c r="A13" s="2" t="s">
        <v>1</v>
      </c>
      <c r="B13" s="3" t="s">
        <v>1</v>
      </c>
    </row>
    <row r="14" spans="1:2" x14ac:dyDescent="0.25">
      <c r="A14" s="2" t="s">
        <v>18</v>
      </c>
      <c r="B14" s="3" t="s">
        <v>19</v>
      </c>
    </row>
    <row r="15" spans="1:2" x14ac:dyDescent="0.25">
      <c r="A15" s="2" t="s">
        <v>20</v>
      </c>
      <c r="B15" s="3" t="s">
        <v>21</v>
      </c>
    </row>
    <row r="16" spans="1:2" x14ac:dyDescent="0.25">
      <c r="A16" s="2" t="s">
        <v>22</v>
      </c>
      <c r="B16" s="3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2" customWidth="1"/>
    <col min="2" max="2" width="38" customWidth="1"/>
    <col min="3" max="4" width="50" customWidth="1"/>
    <col min="5" max="5" width="22" customWidth="1"/>
  </cols>
  <sheetData>
    <row r="1" ht="34" customHeight="1" spans="1:5" x14ac:dyDescent="0.25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</row>
    <row r="2" spans="1:5" x14ac:dyDescent="0.25">
      <c r="A2" s="5" t="s">
        <v>29</v>
      </c>
      <c r="B2" s="6" t="s">
        <v>30</v>
      </c>
      <c r="C2" s="6" t="s">
        <v>31</v>
      </c>
      <c r="D2" s="6" t="s">
        <v>32</v>
      </c>
      <c r="E2" s="6" t="s">
        <v>33</v>
      </c>
    </row>
    <row r="3" spans="1:5" x14ac:dyDescent="0.25">
      <c r="A3" s="5" t="s">
        <v>34</v>
      </c>
      <c r="B3" s="6" t="s">
        <v>35</v>
      </c>
      <c r="C3" s="6" t="s">
        <v>36</v>
      </c>
      <c r="D3" s="6" t="s">
        <v>37</v>
      </c>
      <c r="E3" s="6" t="s">
        <v>38</v>
      </c>
    </row>
    <row r="4" spans="1:5" x14ac:dyDescent="0.25">
      <c r="A4" s="5" t="s">
        <v>39</v>
      </c>
      <c r="B4" s="6" t="s">
        <v>40</v>
      </c>
      <c r="C4" s="6" t="s">
        <v>41</v>
      </c>
      <c r="D4" s="6" t="s">
        <v>42</v>
      </c>
      <c r="E4" s="6" t="s">
        <v>43</v>
      </c>
    </row>
    <row r="5" spans="1:5" x14ac:dyDescent="0.25">
      <c r="A5" s="5" t="s">
        <v>44</v>
      </c>
      <c r="B5" s="6" t="s">
        <v>45</v>
      </c>
      <c r="C5" s="6" t="s">
        <v>46</v>
      </c>
      <c r="D5" s="6" t="s">
        <v>47</v>
      </c>
      <c r="E5" s="6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2" width="52" customWidth="1"/>
    <col min="3" max="3" width="18" customWidth="1"/>
    <col min="4" max="14" width="17" customWidth="1"/>
  </cols>
  <sheetData>
    <row r="1" ht="34" customHeight="1" spans="1:14" x14ac:dyDescent="0.25">
      <c r="A1" s="4" t="s">
        <v>49</v>
      </c>
      <c r="B1" s="4" t="s">
        <v>50</v>
      </c>
      <c r="C1" s="4" t="s">
        <v>51</v>
      </c>
      <c r="D1" s="4" t="s">
        <v>29</v>
      </c>
      <c r="E1" s="4" t="s">
        <v>52</v>
      </c>
      <c r="F1" s="4" t="s">
        <v>53</v>
      </c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61</v>
      </c>
    </row>
    <row r="2" ht="30" customHeight="1" spans="1:14" x14ac:dyDescent="0.25">
      <c r="A2" s="7" t="s">
        <v>62</v>
      </c>
      <c r="B2" s="7" t="s">
        <v>1</v>
      </c>
      <c r="C2" s="7" t="s">
        <v>1</v>
      </c>
      <c r="D2" s="8" t="s">
        <v>29</v>
      </c>
      <c r="E2" s="8" t="s">
        <v>34</v>
      </c>
      <c r="F2" s="8" t="s">
        <v>34</v>
      </c>
      <c r="G2" s="8" t="s">
        <v>34</v>
      </c>
      <c r="H2" s="8" t="s">
        <v>34</v>
      </c>
      <c r="I2" s="8" t="s">
        <v>39</v>
      </c>
      <c r="J2" s="8" t="s">
        <v>39</v>
      </c>
      <c r="K2" s="8" t="s">
        <v>44</v>
      </c>
      <c r="L2" s="8" t="s">
        <v>1</v>
      </c>
      <c r="M2" s="8" t="s">
        <v>1</v>
      </c>
      <c r="N2" s="8" t="s">
        <v>1</v>
      </c>
    </row>
    <row r="3" ht="30" customHeight="1" spans="1:14" x14ac:dyDescent="0.25">
      <c r="A3" s="9" t="s">
        <v>63</v>
      </c>
      <c r="B3" s="9" t="s">
        <v>1</v>
      </c>
      <c r="C3" s="9" t="s">
        <v>1</v>
      </c>
      <c r="D3" s="10" t="s">
        <v>33</v>
      </c>
      <c r="E3" s="10" t="s">
        <v>64</v>
      </c>
      <c r="F3" s="10" t="s">
        <v>65</v>
      </c>
      <c r="G3" s="10" t="s">
        <v>66</v>
      </c>
      <c r="H3" s="10" t="s">
        <v>64</v>
      </c>
      <c r="I3" s="10" t="s">
        <v>43</v>
      </c>
      <c r="J3" s="10" t="s">
        <v>67</v>
      </c>
      <c r="K3" s="10" t="s">
        <v>48</v>
      </c>
      <c r="L3" s="10" t="s">
        <v>1</v>
      </c>
      <c r="M3" s="10" t="s">
        <v>1</v>
      </c>
      <c r="N3" s="10" t="s">
        <v>1</v>
      </c>
    </row>
    <row r="4" ht="32" customHeight="1" spans="1:14" x14ac:dyDescent="0.25">
      <c r="A4" s="11" t="s">
        <v>68</v>
      </c>
      <c r="B4" s="12" t="s">
        <v>69</v>
      </c>
      <c r="C4" s="12" t="s">
        <v>70</v>
      </c>
      <c r="D4" s="13" t="s">
        <v>71</v>
      </c>
      <c r="E4" s="13" t="s">
        <v>71</v>
      </c>
      <c r="F4" s="13" t="s">
        <v>72</v>
      </c>
      <c r="G4" s="13" t="s">
        <v>71</v>
      </c>
      <c r="H4" s="13" t="s">
        <v>72</v>
      </c>
      <c r="I4" s="13" t="s">
        <v>73</v>
      </c>
      <c r="J4" s="13" t="s">
        <v>72</v>
      </c>
      <c r="K4" s="13" t="s">
        <v>73</v>
      </c>
      <c r="L4" s="13"/>
      <c r="M4" s="13"/>
      <c r="N4" s="13"/>
    </row>
    <row r="5" ht="32" customHeight="1" spans="1:14" x14ac:dyDescent="0.25">
      <c r="A5" s="11" t="s">
        <v>74</v>
      </c>
      <c r="B5" s="12" t="s">
        <v>75</v>
      </c>
      <c r="C5" s="12" t="s">
        <v>70</v>
      </c>
      <c r="D5" s="13" t="s">
        <v>71</v>
      </c>
      <c r="E5" s="13" t="s">
        <v>71</v>
      </c>
      <c r="F5" s="13" t="s">
        <v>73</v>
      </c>
      <c r="G5" s="13" t="s">
        <v>71</v>
      </c>
      <c r="H5" s="13" t="s">
        <v>73</v>
      </c>
      <c r="I5" s="13" t="s">
        <v>73</v>
      </c>
      <c r="J5" s="13" t="s">
        <v>73</v>
      </c>
      <c r="K5" s="13" t="s">
        <v>73</v>
      </c>
      <c r="L5" s="13"/>
      <c r="M5" s="13"/>
      <c r="N5" s="13"/>
    </row>
    <row r="6" ht="32" customHeight="1" spans="1:14" x14ac:dyDescent="0.25">
      <c r="A6" s="11" t="s">
        <v>76</v>
      </c>
      <c r="B6" s="12" t="s">
        <v>77</v>
      </c>
      <c r="C6" s="12" t="s">
        <v>70</v>
      </c>
      <c r="D6" s="13" t="s">
        <v>71</v>
      </c>
      <c r="E6" s="13" t="s">
        <v>71</v>
      </c>
      <c r="F6" s="13" t="s">
        <v>72</v>
      </c>
      <c r="G6" s="13" t="s">
        <v>71</v>
      </c>
      <c r="H6" s="13" t="s">
        <v>73</v>
      </c>
      <c r="I6" s="13" t="s">
        <v>73</v>
      </c>
      <c r="J6" s="13" t="s">
        <v>73</v>
      </c>
      <c r="K6" s="13" t="s">
        <v>73</v>
      </c>
      <c r="L6" s="13"/>
      <c r="M6" s="13"/>
      <c r="N6" s="13"/>
    </row>
    <row r="7" ht="32" customHeight="1" spans="1:14" x14ac:dyDescent="0.25">
      <c r="A7" s="11" t="s">
        <v>78</v>
      </c>
      <c r="B7" s="12" t="s">
        <v>79</v>
      </c>
      <c r="C7" s="12" t="s">
        <v>70</v>
      </c>
      <c r="D7" s="13" t="s">
        <v>71</v>
      </c>
      <c r="E7" s="13" t="s">
        <v>71</v>
      </c>
      <c r="F7" s="13" t="s">
        <v>71</v>
      </c>
      <c r="G7" s="13" t="s">
        <v>73</v>
      </c>
      <c r="H7" s="13" t="s">
        <v>72</v>
      </c>
      <c r="I7" s="13" t="s">
        <v>73</v>
      </c>
      <c r="J7" s="13" t="s">
        <v>72</v>
      </c>
      <c r="K7" s="13" t="s">
        <v>72</v>
      </c>
      <c r="L7" s="13"/>
      <c r="M7" s="13"/>
      <c r="N7" s="13"/>
    </row>
    <row r="8" ht="32" customHeight="1" spans="1:14" x14ac:dyDescent="0.25">
      <c r="A8" s="11" t="s">
        <v>80</v>
      </c>
      <c r="B8" s="12" t="s">
        <v>81</v>
      </c>
      <c r="C8" s="12" t="s">
        <v>70</v>
      </c>
      <c r="D8" s="13" t="s">
        <v>71</v>
      </c>
      <c r="E8" s="13" t="s">
        <v>72</v>
      </c>
      <c r="F8" s="13" t="s">
        <v>72</v>
      </c>
      <c r="G8" s="13" t="s">
        <v>73</v>
      </c>
      <c r="H8" s="13" t="s">
        <v>73</v>
      </c>
      <c r="I8" s="13" t="s">
        <v>73</v>
      </c>
      <c r="J8" s="13" t="s">
        <v>72</v>
      </c>
      <c r="K8" s="13" t="s">
        <v>72</v>
      </c>
      <c r="L8" s="13"/>
      <c r="M8" s="13"/>
      <c r="N8" s="13"/>
    </row>
    <row r="9" ht="32" customHeight="1" spans="1:14" x14ac:dyDescent="0.25">
      <c r="A9" s="11" t="s">
        <v>82</v>
      </c>
      <c r="B9" s="12" t="s">
        <v>83</v>
      </c>
      <c r="C9" s="12" t="s">
        <v>70</v>
      </c>
      <c r="D9" s="13" t="s">
        <v>71</v>
      </c>
      <c r="E9" s="13" t="s">
        <v>71</v>
      </c>
      <c r="F9" s="13" t="s">
        <v>71</v>
      </c>
      <c r="G9" s="13" t="s">
        <v>73</v>
      </c>
      <c r="H9" s="13" t="s">
        <v>72</v>
      </c>
      <c r="I9" s="13" t="s">
        <v>73</v>
      </c>
      <c r="J9" s="13" t="s">
        <v>71</v>
      </c>
      <c r="K9" s="13" t="s">
        <v>73</v>
      </c>
      <c r="L9" s="13"/>
      <c r="M9" s="13"/>
      <c r="N9" s="13"/>
    </row>
    <row r="10" ht="32" customHeight="1" spans="1:14" x14ac:dyDescent="0.25">
      <c r="A10" s="11" t="s">
        <v>84</v>
      </c>
      <c r="B10" s="12" t="s">
        <v>85</v>
      </c>
      <c r="C10" s="12" t="s">
        <v>70</v>
      </c>
      <c r="D10" s="13" t="s">
        <v>71</v>
      </c>
      <c r="E10" s="13" t="s">
        <v>71</v>
      </c>
      <c r="F10" s="13" t="s">
        <v>71</v>
      </c>
      <c r="G10" s="13" t="s">
        <v>72</v>
      </c>
      <c r="H10" s="13" t="s">
        <v>73</v>
      </c>
      <c r="I10" s="13" t="s">
        <v>73</v>
      </c>
      <c r="J10" s="13" t="s">
        <v>72</v>
      </c>
      <c r="K10" s="13" t="s">
        <v>72</v>
      </c>
      <c r="L10" s="13"/>
      <c r="M10" s="13"/>
      <c r="N10" s="13"/>
    </row>
    <row r="11" ht="32" customHeight="1" spans="1:14" x14ac:dyDescent="0.25">
      <c r="A11" s="11" t="s">
        <v>86</v>
      </c>
      <c r="B11" s="12" t="s">
        <v>87</v>
      </c>
      <c r="C11" s="12" t="s">
        <v>70</v>
      </c>
      <c r="D11" s="13" t="s">
        <v>71</v>
      </c>
      <c r="E11" s="13" t="s">
        <v>71</v>
      </c>
      <c r="F11" s="13" t="s">
        <v>72</v>
      </c>
      <c r="G11" s="13" t="s">
        <v>73</v>
      </c>
      <c r="H11" s="13" t="s">
        <v>73</v>
      </c>
      <c r="I11" s="13" t="s">
        <v>73</v>
      </c>
      <c r="J11" s="13" t="s">
        <v>73</v>
      </c>
      <c r="K11" s="13" t="s">
        <v>71</v>
      </c>
      <c r="L11" s="13"/>
      <c r="M11" s="13"/>
      <c r="N11" s="13"/>
    </row>
    <row r="12" ht="32" customHeight="1" spans="1:14" x14ac:dyDescent="0.25">
      <c r="A12" s="11" t="s">
        <v>88</v>
      </c>
      <c r="B12" s="12" t="s">
        <v>89</v>
      </c>
      <c r="C12" s="12" t="s">
        <v>70</v>
      </c>
      <c r="D12" s="13" t="s">
        <v>71</v>
      </c>
      <c r="E12" s="13" t="s">
        <v>71</v>
      </c>
      <c r="F12" s="13" t="s">
        <v>71</v>
      </c>
      <c r="G12" s="13" t="s">
        <v>72</v>
      </c>
      <c r="H12" s="13" t="s">
        <v>72</v>
      </c>
      <c r="I12" s="13" t="s">
        <v>73</v>
      </c>
      <c r="J12" s="13" t="s">
        <v>72</v>
      </c>
      <c r="K12" s="13" t="s">
        <v>73</v>
      </c>
      <c r="L12" s="13"/>
      <c r="M12" s="13"/>
      <c r="N12" s="13"/>
    </row>
    <row r="13" ht="32" customHeight="1" spans="1:14" x14ac:dyDescent="0.25">
      <c r="A13" s="11" t="s">
        <v>90</v>
      </c>
      <c r="B13" s="12" t="s">
        <v>91</v>
      </c>
      <c r="C13" s="12" t="s">
        <v>70</v>
      </c>
      <c r="D13" s="13" t="s">
        <v>71</v>
      </c>
      <c r="E13" s="13" t="s">
        <v>71</v>
      </c>
      <c r="F13" s="13" t="s">
        <v>71</v>
      </c>
      <c r="G13" s="13" t="s">
        <v>72</v>
      </c>
      <c r="H13" s="13" t="s">
        <v>72</v>
      </c>
      <c r="I13" s="13" t="s">
        <v>73</v>
      </c>
      <c r="J13" s="13" t="s">
        <v>72</v>
      </c>
      <c r="K13" s="13" t="s">
        <v>73</v>
      </c>
      <c r="L13" s="13"/>
      <c r="M13" s="13"/>
      <c r="N13" s="13"/>
    </row>
    <row r="14" ht="32" customHeight="1" spans="1:14" x14ac:dyDescent="0.25">
      <c r="A14" s="11" t="s">
        <v>55</v>
      </c>
      <c r="B14" s="12" t="s">
        <v>92</v>
      </c>
      <c r="C14" s="12" t="s">
        <v>70</v>
      </c>
      <c r="D14" s="13" t="s">
        <v>71</v>
      </c>
      <c r="E14" s="13" t="s">
        <v>72</v>
      </c>
      <c r="F14" s="13" t="s">
        <v>72</v>
      </c>
      <c r="G14" s="13" t="s">
        <v>73</v>
      </c>
      <c r="H14" s="13" t="s">
        <v>71</v>
      </c>
      <c r="I14" s="13" t="s">
        <v>73</v>
      </c>
      <c r="J14" s="13" t="s">
        <v>73</v>
      </c>
      <c r="K14" s="13" t="s">
        <v>73</v>
      </c>
      <c r="L14" s="13"/>
      <c r="M14" s="13"/>
      <c r="N14" s="13"/>
    </row>
    <row r="15" ht="32" customHeight="1" spans="1:14" x14ac:dyDescent="0.25">
      <c r="A15" s="11" t="s">
        <v>93</v>
      </c>
      <c r="B15" s="12" t="s">
        <v>94</v>
      </c>
      <c r="C15" s="12" t="s">
        <v>70</v>
      </c>
      <c r="D15" s="13" t="s">
        <v>71</v>
      </c>
      <c r="E15" s="13" t="s">
        <v>72</v>
      </c>
      <c r="F15" s="13" t="s">
        <v>73</v>
      </c>
      <c r="G15" s="13" t="s">
        <v>71</v>
      </c>
      <c r="H15" s="13" t="s">
        <v>72</v>
      </c>
      <c r="I15" s="13" t="s">
        <v>73</v>
      </c>
      <c r="J15" s="13" t="s">
        <v>73</v>
      </c>
      <c r="K15" s="13" t="s">
        <v>73</v>
      </c>
      <c r="L15" s="13"/>
      <c r="M15" s="13"/>
      <c r="N15" s="13"/>
    </row>
    <row r="16" ht="32" customHeight="1" spans="1:14" x14ac:dyDescent="0.25">
      <c r="A16" s="11" t="s">
        <v>95</v>
      </c>
      <c r="B16" s="12" t="s">
        <v>96</v>
      </c>
      <c r="C16" s="12" t="s">
        <v>70</v>
      </c>
      <c r="D16" s="13" t="s">
        <v>71</v>
      </c>
      <c r="E16" s="13" t="s">
        <v>73</v>
      </c>
      <c r="F16" s="13" t="s">
        <v>73</v>
      </c>
      <c r="G16" s="13" t="s">
        <v>73</v>
      </c>
      <c r="H16" s="13" t="s">
        <v>72</v>
      </c>
      <c r="I16" s="13" t="s">
        <v>73</v>
      </c>
      <c r="J16" s="13" t="s">
        <v>73</v>
      </c>
      <c r="K16" s="13" t="s">
        <v>73</v>
      </c>
      <c r="L16" s="13"/>
      <c r="M16" s="13"/>
      <c r="N16" s="13"/>
    </row>
    <row r="17" ht="32" customHeight="1" spans="1:14" x14ac:dyDescent="0.25">
      <c r="A17" s="11" t="s">
        <v>97</v>
      </c>
      <c r="B17" s="12" t="s">
        <v>98</v>
      </c>
      <c r="C17" s="12" t="s">
        <v>70</v>
      </c>
      <c r="D17" s="13" t="s">
        <v>71</v>
      </c>
      <c r="E17" s="13" t="s">
        <v>72</v>
      </c>
      <c r="F17" s="13" t="s">
        <v>72</v>
      </c>
      <c r="G17" s="13" t="s">
        <v>72</v>
      </c>
      <c r="H17" s="13" t="s">
        <v>72</v>
      </c>
      <c r="I17" s="13" t="s">
        <v>73</v>
      </c>
      <c r="J17" s="13" t="s">
        <v>73</v>
      </c>
      <c r="K17" s="13" t="s">
        <v>73</v>
      </c>
      <c r="L17" s="13"/>
      <c r="M17" s="13"/>
      <c r="N17" s="13"/>
    </row>
    <row r="18" ht="32" customHeight="1" spans="1:14" x14ac:dyDescent="0.25">
      <c r="A18" s="11" t="s">
        <v>99</v>
      </c>
      <c r="B18" s="12" t="s">
        <v>100</v>
      </c>
      <c r="C18" s="12" t="s">
        <v>70</v>
      </c>
      <c r="D18" s="13" t="s">
        <v>71</v>
      </c>
      <c r="E18" s="13" t="s">
        <v>72</v>
      </c>
      <c r="F18" s="13" t="s">
        <v>73</v>
      </c>
      <c r="G18" s="13" t="s">
        <v>72</v>
      </c>
      <c r="H18" s="13" t="s">
        <v>73</v>
      </c>
      <c r="I18" s="13" t="s">
        <v>73</v>
      </c>
      <c r="J18" s="13" t="s">
        <v>73</v>
      </c>
      <c r="K18" s="13" t="s">
        <v>73</v>
      </c>
      <c r="L18" s="13"/>
      <c r="M18" s="13"/>
      <c r="N18" s="13"/>
    </row>
    <row r="19" ht="32" customHeight="1" spans="1:14" x14ac:dyDescent="0.25">
      <c r="A19" s="11" t="s">
        <v>101</v>
      </c>
      <c r="B19" s="12" t="s">
        <v>102</v>
      </c>
      <c r="C19" s="12" t="s">
        <v>70</v>
      </c>
      <c r="D19" s="13" t="s">
        <v>71</v>
      </c>
      <c r="E19" s="13" t="s">
        <v>73</v>
      </c>
      <c r="F19" s="13" t="s">
        <v>73</v>
      </c>
      <c r="G19" s="13" t="s">
        <v>71</v>
      </c>
      <c r="H19" s="13" t="s">
        <v>72</v>
      </c>
      <c r="I19" s="13" t="s">
        <v>73</v>
      </c>
      <c r="J19" s="13" t="s">
        <v>73</v>
      </c>
      <c r="K19" s="13" t="s">
        <v>73</v>
      </c>
      <c r="L19" s="13"/>
      <c r="M19" s="13"/>
      <c r="N19" s="13"/>
    </row>
    <row r="20" ht="32" customHeight="1" spans="1:14" x14ac:dyDescent="0.25">
      <c r="A20" s="11" t="s">
        <v>103</v>
      </c>
      <c r="B20" s="12" t="s">
        <v>104</v>
      </c>
      <c r="C20" s="12" t="s">
        <v>105</v>
      </c>
      <c r="D20" s="13" t="s">
        <v>106</v>
      </c>
      <c r="E20" s="13" t="s">
        <v>73</v>
      </c>
      <c r="F20" s="13" t="s">
        <v>73</v>
      </c>
      <c r="G20" s="13" t="s">
        <v>73</v>
      </c>
      <c r="H20" s="13" t="s">
        <v>73</v>
      </c>
      <c r="I20" s="13" t="s">
        <v>73</v>
      </c>
      <c r="J20" s="13" t="s">
        <v>73</v>
      </c>
      <c r="K20" s="13" t="s">
        <v>73</v>
      </c>
      <c r="L20" s="13"/>
      <c r="M20" s="13"/>
      <c r="N20" s="13"/>
    </row>
    <row r="21" ht="32" customHeight="1" spans="1:14" x14ac:dyDescent="0.25">
      <c r="A21" s="11" t="s">
        <v>107</v>
      </c>
      <c r="B21" s="12" t="s">
        <v>108</v>
      </c>
      <c r="C21" s="12" t="s">
        <v>109</v>
      </c>
      <c r="D21" s="13" t="s">
        <v>110</v>
      </c>
      <c r="E21" s="13" t="s">
        <v>110</v>
      </c>
      <c r="F21" s="13" t="s">
        <v>110</v>
      </c>
      <c r="G21" s="13" t="s">
        <v>73</v>
      </c>
      <c r="H21" s="13" t="s">
        <v>73</v>
      </c>
      <c r="I21" s="13" t="s">
        <v>110</v>
      </c>
      <c r="J21" s="13" t="s">
        <v>110</v>
      </c>
      <c r="K21" s="13" t="s">
        <v>73</v>
      </c>
      <c r="L21" s="13"/>
      <c r="M21" s="13"/>
      <c r="N21" s="13"/>
    </row>
    <row r="22" ht="32" customHeight="1" spans="1:14" x14ac:dyDescent="0.25">
      <c r="A22" s="11" t="s">
        <v>1</v>
      </c>
      <c r="B22" s="12" t="s">
        <v>1</v>
      </c>
      <c r="C22" s="12" t="s">
        <v>1</v>
      </c>
      <c r="D22" s="13" t="s">
        <v>1</v>
      </c>
      <c r="E22" s="13" t="s">
        <v>1</v>
      </c>
      <c r="F22" s="13" t="s">
        <v>1</v>
      </c>
      <c r="G22" s="13" t="s">
        <v>1</v>
      </c>
      <c r="H22" s="13" t="s">
        <v>1</v>
      </c>
      <c r="I22" s="13" t="s">
        <v>1</v>
      </c>
      <c r="J22" s="13" t="s">
        <v>1</v>
      </c>
      <c r="K22" s="13" t="s">
        <v>1</v>
      </c>
      <c r="L22" s="13"/>
      <c r="M22" s="13"/>
      <c r="N22" s="13"/>
    </row>
    <row r="23" ht="32" customHeight="1" spans="1:14" x14ac:dyDescent="0.25">
      <c r="A23" s="11" t="s">
        <v>1</v>
      </c>
      <c r="B23" s="12" t="s">
        <v>1</v>
      </c>
      <c r="C23" s="12" t="s">
        <v>1</v>
      </c>
      <c r="D23" s="13" t="s">
        <v>1</v>
      </c>
      <c r="E23" s="13" t="s">
        <v>1</v>
      </c>
      <c r="F23" s="13" t="s">
        <v>1</v>
      </c>
      <c r="G23" s="13" t="s">
        <v>1</v>
      </c>
      <c r="H23" s="13" t="s">
        <v>1</v>
      </c>
      <c r="I23" s="13" t="s">
        <v>1</v>
      </c>
      <c r="J23" s="13" t="s">
        <v>1</v>
      </c>
      <c r="K23" s="13" t="s">
        <v>1</v>
      </c>
      <c r="L23" s="13"/>
      <c r="M23" s="13"/>
      <c r="N23" s="13"/>
    </row>
    <row r="24" ht="32" customHeight="1" spans="1:14" x14ac:dyDescent="0.25">
      <c r="A24" s="11" t="s">
        <v>1</v>
      </c>
      <c r="B24" s="12" t="s">
        <v>1</v>
      </c>
      <c r="C24" s="12" t="s">
        <v>1</v>
      </c>
      <c r="D24" s="13" t="s">
        <v>1</v>
      </c>
      <c r="E24" s="13" t="s">
        <v>1</v>
      </c>
      <c r="F24" s="13" t="s">
        <v>1</v>
      </c>
      <c r="G24" s="13" t="s">
        <v>1</v>
      </c>
      <c r="H24" s="13" t="s">
        <v>1</v>
      </c>
      <c r="I24" s="13" t="s">
        <v>1</v>
      </c>
      <c r="J24" s="13" t="s">
        <v>1</v>
      </c>
      <c r="K24" s="13" t="s">
        <v>1</v>
      </c>
      <c r="L24" s="13"/>
      <c r="M24" s="13"/>
      <c r="N24" s="13"/>
    </row>
    <row r="25" ht="32" customHeight="1" spans="1:14" x14ac:dyDescent="0.25">
      <c r="A25" s="11" t="s">
        <v>1</v>
      </c>
      <c r="B25" s="12" t="s">
        <v>1</v>
      </c>
      <c r="C25" s="12" t="s">
        <v>1</v>
      </c>
      <c r="D25" s="13" t="s">
        <v>1</v>
      </c>
      <c r="E25" s="13" t="s">
        <v>1</v>
      </c>
      <c r="F25" s="13" t="s">
        <v>1</v>
      </c>
      <c r="G25" s="13" t="s">
        <v>1</v>
      </c>
      <c r="H25" s="13" t="s">
        <v>1</v>
      </c>
      <c r="I25" s="13" t="s">
        <v>1</v>
      </c>
      <c r="J25" s="13" t="s">
        <v>1</v>
      </c>
      <c r="K25" s="13" t="s">
        <v>1</v>
      </c>
      <c r="L25" s="13"/>
      <c r="M25" s="13"/>
      <c r="N25" s="13"/>
    </row>
    <row r="27" spans="1:14" x14ac:dyDescent="0.25">
      <c r="A27" s="14" t="s">
        <v>111</v>
      </c>
      <c r="B27" s="15" t="s">
        <v>112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</row>
    <row r="28" spans="1:14" x14ac:dyDescent="0.25">
      <c r="A28" s="14" t="s">
        <v>1</v>
      </c>
      <c r="B28" s="15" t="s">
        <v>113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</row>
    <row r="29" spans="1:14" x14ac:dyDescent="0.25">
      <c r="A29" s="14" t="s">
        <v>1</v>
      </c>
      <c r="B29" s="15" t="s">
        <v>114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</row>
    <row r="30" spans="1:14" x14ac:dyDescent="0.25">
      <c r="A30" s="14" t="s">
        <v>115</v>
      </c>
      <c r="B30" s="15" t="s">
        <v>116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</row>
    <row r="31" spans="1:14" x14ac:dyDescent="0.25">
      <c r="A31" s="14" t="s">
        <v>1</v>
      </c>
      <c r="B31" s="15" t="s">
        <v>117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</row>
  </sheetData>
  <mergeCells count="5">
    <mergeCell ref="B27:N27"/>
    <mergeCell ref="B28:N28"/>
    <mergeCell ref="B29:N29"/>
    <mergeCell ref="B30:N30"/>
    <mergeCell ref="B31:N31"/>
  </mergeCells>
  <conditionalFormatting sqref="D4:N25">
    <cfRule type="cellIs" dxfId="0" priority="1" operator="equal">
      <formula>"Edit"</formula>
    </cfRule>
    <cfRule type="cellIs" dxfId="1" priority="2" operator="equal">
      <formula>"View"</formula>
    </cfRule>
    <cfRule type="cellIs" dxfId="2" priority="3" operator="equal">
      <formula>"Off"</formula>
    </cfRule>
    <cfRule type="cellIs" dxfId="3" priority="4" operator="equal">
      <formula>"On"</formula>
    </cfRule>
    <cfRule type="cellIs" dxfId="4" priority="5" operator="equal">
      <formula>"Owner only"</formula>
    </cfRule>
  </conditionalFormatting>
  <dataValidations count="8">
    <dataValidation type="list" allowBlank="1" showErrorMessage="1" errorStyle="warning" error="Add new options on the Lists tab, or click Yes to keep this value." sqref="C10:C25">
      <formula1>Lists!$E$2:$E$20</formula1>
    </dataValidation>
    <dataValidation type="list" allowBlank="1" showErrorMessage="1" errorStyle="warning" error="Add new options on the Lists tab, or click Yes to keep this value." sqref="C4:C25">
      <formula1>Lists!$E$2:$E$20</formula1>
    </dataValidation>
    <dataValidation type="list" allowBlank="1" showErrorMessage="1" errorStyle="warning" error="Add new options on the Lists tab, or click Yes to keep this value." sqref="D10:N20">
      <formula1>Lists!$A$2:$A$20</formula1>
    </dataValidation>
    <dataValidation type="list" allowBlank="1" showErrorMessage="1" errorStyle="warning" errorTitle="Not in the list" error="Add new options on the Lists tab, or click Yes to keep this value." sqref="D2:N2">
      <formula1>Lists!$C$2:$C$20</formula1>
    </dataValidation>
    <dataValidation type="list" allowBlank="1" showErrorMessage="1" errorStyle="warning" error="Add new options on the Lists tab, or click Yes to keep this value." sqref="D21:N21">
      <formula1>Lists!$B$2:$B$20</formula1>
    </dataValidation>
    <dataValidation type="list" allowBlank="1" showErrorMessage="1" errorStyle="warning" error="Add new options on the Lists tab, or click Yes to keep this value." sqref="D22:N25">
      <formula1>Lists!$A$2:$A$20</formula1>
    </dataValidation>
    <dataValidation type="list" allowBlank="1" showErrorMessage="1" errorStyle="warning" errorTitle="Not in the list" error="Add new options on the Lists tab, or click Yes to keep this value." sqref="D3:N3">
      <formula1>Lists!$D$2:$D$30</formula1>
    </dataValidation>
    <dataValidation type="list" allowBlank="1" showErrorMessage="1" errorStyle="warning" error="Add new options on the Lists tab, or click Yes to keep this value." sqref="D4:N20">
      <formula1>Lists!$A$2:$A$20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26" customWidth="1"/>
    <col min="2" max="3" width="60" customWidth="1"/>
  </cols>
  <sheetData>
    <row r="1" ht="34" customHeight="1" spans="1:3" x14ac:dyDescent="0.25">
      <c r="A1" s="4" t="s">
        <v>118</v>
      </c>
      <c r="B1" s="4" t="s">
        <v>119</v>
      </c>
      <c r="C1" s="4" t="s">
        <v>16</v>
      </c>
    </row>
    <row r="2" spans="1:3" x14ac:dyDescent="0.25">
      <c r="A2" s="16" t="s">
        <v>64</v>
      </c>
      <c r="B2" s="6" t="s">
        <v>120</v>
      </c>
      <c r="C2" s="6" t="s">
        <v>121</v>
      </c>
    </row>
    <row r="3" spans="1:3" x14ac:dyDescent="0.25">
      <c r="A3" s="16" t="s">
        <v>65</v>
      </c>
      <c r="B3" s="6" t="s">
        <v>122</v>
      </c>
      <c r="C3" s="6" t="s">
        <v>123</v>
      </c>
    </row>
    <row r="4" spans="1:3" x14ac:dyDescent="0.25">
      <c r="A4" s="16" t="s">
        <v>124</v>
      </c>
      <c r="B4" s="6" t="s">
        <v>125</v>
      </c>
      <c r="C4" s="6" t="s">
        <v>126</v>
      </c>
    </row>
    <row r="5" spans="1:3" x14ac:dyDescent="0.25">
      <c r="A5" s="16" t="s">
        <v>48</v>
      </c>
      <c r="B5" s="6" t="s">
        <v>127</v>
      </c>
      <c r="C5" s="6" t="s">
        <v>128</v>
      </c>
    </row>
    <row r="6" spans="1:3" x14ac:dyDescent="0.25">
      <c r="A6" s="16" t="s">
        <v>129</v>
      </c>
      <c r="B6" s="6" t="s">
        <v>130</v>
      </c>
      <c r="C6" s="6" t="s">
        <v>131</v>
      </c>
    </row>
    <row r="7" spans="1:3" x14ac:dyDescent="0.25">
      <c r="A7" s="16" t="s">
        <v>43</v>
      </c>
      <c r="B7" s="6" t="s">
        <v>132</v>
      </c>
      <c r="C7" s="6" t="s">
        <v>133</v>
      </c>
    </row>
    <row r="9" ht="34" customHeight="1" spans="1:3" x14ac:dyDescent="0.25">
      <c r="A9" s="4" t="s">
        <v>134</v>
      </c>
      <c r="B9" s="4" t="s">
        <v>135</v>
      </c>
      <c r="C9" s="4" t="s">
        <v>136</v>
      </c>
    </row>
    <row r="10" spans="1:3" x14ac:dyDescent="0.25">
      <c r="A10" s="17" t="s">
        <v>137</v>
      </c>
      <c r="B10" s="6" t="s">
        <v>138</v>
      </c>
      <c r="C10" s="6" t="s">
        <v>139</v>
      </c>
    </row>
    <row r="11" spans="1:3" x14ac:dyDescent="0.25">
      <c r="A11" s="17" t="s">
        <v>140</v>
      </c>
      <c r="B11" s="6" t="s">
        <v>141</v>
      </c>
      <c r="C11" s="6" t="s">
        <v>142</v>
      </c>
    </row>
    <row r="12" spans="1:3" x14ac:dyDescent="0.25">
      <c r="A12" s="17" t="s">
        <v>143</v>
      </c>
      <c r="B12" s="6" t="s">
        <v>144</v>
      </c>
      <c r="C12" s="6" t="s">
        <v>145</v>
      </c>
    </row>
    <row r="13" spans="1:3" x14ac:dyDescent="0.25">
      <c r="A13" s="17" t="s">
        <v>146</v>
      </c>
      <c r="B13" s="6" t="s">
        <v>147</v>
      </c>
      <c r="C13" s="6" t="s">
        <v>148</v>
      </c>
    </row>
    <row r="14" spans="1:3" x14ac:dyDescent="0.25">
      <c r="A14" s="17" t="s">
        <v>149</v>
      </c>
      <c r="B14" s="6" t="s">
        <v>150</v>
      </c>
      <c r="C14" s="6" t="s">
        <v>151</v>
      </c>
    </row>
    <row r="15" spans="1:3" x14ac:dyDescent="0.25">
      <c r="A15" s="17" t="s">
        <v>152</v>
      </c>
      <c r="B15" s="6" t="s">
        <v>153</v>
      </c>
      <c r="C15" s="6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6" customWidth="1"/>
    <col min="3" max="3" width="30" customWidth="1"/>
    <col min="4" max="4" width="34" customWidth="1"/>
    <col min="5" max="5" width="14" customWidth="1"/>
    <col min="6" max="6" width="44" customWidth="1"/>
  </cols>
  <sheetData>
    <row r="1" ht="34" customHeight="1" spans="1:6" x14ac:dyDescent="0.25">
      <c r="A1" s="4" t="s">
        <v>155</v>
      </c>
      <c r="B1" s="4" t="s">
        <v>156</v>
      </c>
      <c r="C1" s="4" t="s">
        <v>157</v>
      </c>
      <c r="D1" s="4" t="s">
        <v>158</v>
      </c>
      <c r="E1" s="4" t="s">
        <v>159</v>
      </c>
      <c r="F1" s="4" t="s">
        <v>160</v>
      </c>
    </row>
    <row r="2" spans="1:6" x14ac:dyDescent="0.25">
      <c r="A2" s="6" t="s">
        <v>161</v>
      </c>
      <c r="B2" s="6" t="s">
        <v>162</v>
      </c>
      <c r="C2" s="18" t="s">
        <v>163</v>
      </c>
      <c r="D2" s="6" t="s">
        <v>74</v>
      </c>
      <c r="E2" s="6" t="s">
        <v>71</v>
      </c>
      <c r="F2" s="6" t="s">
        <v>1</v>
      </c>
    </row>
    <row r="3" spans="1:6" x14ac:dyDescent="0.25">
      <c r="A3" s="6" t="s">
        <v>161</v>
      </c>
      <c r="B3" s="6" t="s">
        <v>164</v>
      </c>
      <c r="C3" s="18" t="s">
        <v>165</v>
      </c>
      <c r="D3" s="6" t="s">
        <v>68</v>
      </c>
      <c r="E3" s="6" t="s">
        <v>72</v>
      </c>
      <c r="F3" s="6" t="s">
        <v>1</v>
      </c>
    </row>
    <row r="4" spans="1:6" x14ac:dyDescent="0.25">
      <c r="A4" s="6" t="s">
        <v>161</v>
      </c>
      <c r="B4" s="6" t="s">
        <v>166</v>
      </c>
      <c r="C4" s="18" t="s">
        <v>167</v>
      </c>
      <c r="D4" s="6" t="s">
        <v>68</v>
      </c>
      <c r="E4" s="6" t="s">
        <v>71</v>
      </c>
      <c r="F4" s="6" t="s">
        <v>1</v>
      </c>
    </row>
    <row r="5" spans="1:6" x14ac:dyDescent="0.25">
      <c r="A5" s="6" t="s">
        <v>161</v>
      </c>
      <c r="B5" s="6" t="s">
        <v>168</v>
      </c>
      <c r="C5" s="18" t="s">
        <v>169</v>
      </c>
      <c r="D5" s="6" t="s">
        <v>103</v>
      </c>
      <c r="E5" s="6" t="s">
        <v>106</v>
      </c>
      <c r="F5" s="6" t="s">
        <v>1</v>
      </c>
    </row>
    <row r="6" spans="1:6" x14ac:dyDescent="0.25">
      <c r="A6" s="6" t="s">
        <v>161</v>
      </c>
      <c r="B6" s="6" t="s">
        <v>170</v>
      </c>
      <c r="C6" s="18" t="s">
        <v>171</v>
      </c>
      <c r="D6" s="6" t="s">
        <v>74</v>
      </c>
      <c r="E6" s="6" t="s">
        <v>71</v>
      </c>
      <c r="F6" s="6" t="s">
        <v>1</v>
      </c>
    </row>
    <row r="7" spans="1:6" x14ac:dyDescent="0.25">
      <c r="A7" s="6" t="s">
        <v>161</v>
      </c>
      <c r="B7" s="6" t="s">
        <v>172</v>
      </c>
      <c r="C7" s="18" t="s">
        <v>173</v>
      </c>
      <c r="D7" s="6" t="s">
        <v>76</v>
      </c>
      <c r="E7" s="6" t="s">
        <v>72</v>
      </c>
      <c r="F7" s="6" t="s">
        <v>1</v>
      </c>
    </row>
    <row r="8" spans="1:6" x14ac:dyDescent="0.25">
      <c r="A8" s="6" t="s">
        <v>161</v>
      </c>
      <c r="B8" s="6" t="s">
        <v>174</v>
      </c>
      <c r="C8" s="18" t="s">
        <v>175</v>
      </c>
      <c r="D8" s="6" t="s">
        <v>76</v>
      </c>
      <c r="E8" s="6" t="s">
        <v>71</v>
      </c>
      <c r="F8" s="6" t="s">
        <v>1</v>
      </c>
    </row>
    <row r="9" spans="1:6" x14ac:dyDescent="0.25">
      <c r="A9" s="6" t="s">
        <v>161</v>
      </c>
      <c r="B9" s="6" t="s">
        <v>176</v>
      </c>
      <c r="C9" s="18" t="s">
        <v>177</v>
      </c>
      <c r="D9" s="6" t="s">
        <v>76</v>
      </c>
      <c r="E9" s="6" t="s">
        <v>71</v>
      </c>
      <c r="F9" s="6" t="s">
        <v>1</v>
      </c>
    </row>
    <row r="10" spans="1:6" x14ac:dyDescent="0.25">
      <c r="A10" s="6" t="s">
        <v>161</v>
      </c>
      <c r="B10" s="6" t="s">
        <v>178</v>
      </c>
      <c r="C10" s="18" t="s">
        <v>179</v>
      </c>
      <c r="D10" s="6" t="s">
        <v>78</v>
      </c>
      <c r="E10" s="6" t="s">
        <v>72</v>
      </c>
      <c r="F10" s="6" t="s">
        <v>1</v>
      </c>
    </row>
    <row r="11" spans="1:6" x14ac:dyDescent="0.25">
      <c r="A11" s="6" t="s">
        <v>161</v>
      </c>
      <c r="B11" s="6" t="s">
        <v>180</v>
      </c>
      <c r="C11" s="18" t="s">
        <v>181</v>
      </c>
      <c r="D11" s="6" t="s">
        <v>78</v>
      </c>
      <c r="E11" s="6" t="s">
        <v>71</v>
      </c>
      <c r="F11" s="6" t="s">
        <v>1</v>
      </c>
    </row>
    <row r="12" spans="1:6" x14ac:dyDescent="0.25">
      <c r="A12" s="6" t="s">
        <v>161</v>
      </c>
      <c r="B12" s="6" t="s">
        <v>182</v>
      </c>
      <c r="C12" s="18" t="s">
        <v>183</v>
      </c>
      <c r="D12" s="6" t="s">
        <v>78</v>
      </c>
      <c r="E12" s="6" t="s">
        <v>71</v>
      </c>
      <c r="F12" s="6" t="s">
        <v>1</v>
      </c>
    </row>
    <row r="13" spans="1:6" x14ac:dyDescent="0.25">
      <c r="A13" s="6" t="s">
        <v>161</v>
      </c>
      <c r="B13" s="6" t="s">
        <v>184</v>
      </c>
      <c r="C13" s="18" t="s">
        <v>185</v>
      </c>
      <c r="D13" s="6" t="s">
        <v>80</v>
      </c>
      <c r="E13" s="6" t="s">
        <v>72</v>
      </c>
      <c r="F13" s="6" t="s">
        <v>1</v>
      </c>
    </row>
    <row r="14" spans="1:6" x14ac:dyDescent="0.25">
      <c r="A14" s="6" t="s">
        <v>161</v>
      </c>
      <c r="B14" s="6" t="s">
        <v>186</v>
      </c>
      <c r="C14" s="18" t="s">
        <v>187</v>
      </c>
      <c r="D14" s="6" t="s">
        <v>80</v>
      </c>
      <c r="E14" s="6" t="s">
        <v>71</v>
      </c>
      <c r="F14" s="6" t="s">
        <v>1</v>
      </c>
    </row>
    <row r="15" spans="1:6" x14ac:dyDescent="0.25">
      <c r="A15" s="6" t="s">
        <v>161</v>
      </c>
      <c r="B15" s="6" t="s">
        <v>188</v>
      </c>
      <c r="C15" s="18" t="s">
        <v>189</v>
      </c>
      <c r="D15" s="6" t="s">
        <v>78</v>
      </c>
      <c r="E15" s="6" t="s">
        <v>72</v>
      </c>
      <c r="F15" s="6" t="s">
        <v>1</v>
      </c>
    </row>
    <row r="16" spans="1:6" x14ac:dyDescent="0.25">
      <c r="A16" s="6" t="s">
        <v>161</v>
      </c>
      <c r="B16" s="6" t="s">
        <v>190</v>
      </c>
      <c r="C16" s="18" t="s">
        <v>191</v>
      </c>
      <c r="D16" s="6" t="s">
        <v>78</v>
      </c>
      <c r="E16" s="6" t="s">
        <v>71</v>
      </c>
      <c r="F16" s="6" t="s">
        <v>1</v>
      </c>
    </row>
    <row r="17" spans="1:6" x14ac:dyDescent="0.25">
      <c r="A17" s="6" t="s">
        <v>161</v>
      </c>
      <c r="B17" s="6" t="s">
        <v>192</v>
      </c>
      <c r="C17" s="18" t="s">
        <v>193</v>
      </c>
      <c r="D17" s="6" t="s">
        <v>78</v>
      </c>
      <c r="E17" s="6" t="s">
        <v>71</v>
      </c>
      <c r="F17" s="6" t="s">
        <v>1</v>
      </c>
    </row>
    <row r="18" spans="1:6" x14ac:dyDescent="0.25">
      <c r="A18" s="6" t="s">
        <v>161</v>
      </c>
      <c r="B18" s="6" t="s">
        <v>194</v>
      </c>
      <c r="C18" s="18" t="s">
        <v>195</v>
      </c>
      <c r="D18" s="6" t="s">
        <v>82</v>
      </c>
      <c r="E18" s="6" t="s">
        <v>71</v>
      </c>
      <c r="F18" s="6" t="s">
        <v>1</v>
      </c>
    </row>
    <row r="19" spans="1:6" x14ac:dyDescent="0.25">
      <c r="A19" s="6" t="s">
        <v>161</v>
      </c>
      <c r="B19" s="6" t="s">
        <v>196</v>
      </c>
      <c r="C19" s="18" t="s">
        <v>197</v>
      </c>
      <c r="D19" s="6" t="s">
        <v>82</v>
      </c>
      <c r="E19" s="6" t="s">
        <v>71</v>
      </c>
      <c r="F19" s="6" t="s">
        <v>1</v>
      </c>
    </row>
    <row r="20" spans="1:6" x14ac:dyDescent="0.25">
      <c r="A20" s="6" t="s">
        <v>161</v>
      </c>
      <c r="B20" s="6" t="s">
        <v>198</v>
      </c>
      <c r="C20" s="18" t="s">
        <v>199</v>
      </c>
      <c r="D20" s="6" t="s">
        <v>82</v>
      </c>
      <c r="E20" s="6" t="s">
        <v>72</v>
      </c>
      <c r="F20" s="6" t="s">
        <v>1</v>
      </c>
    </row>
    <row r="21" spans="1:6" x14ac:dyDescent="0.25">
      <c r="A21" s="6" t="s">
        <v>161</v>
      </c>
      <c r="B21" s="6" t="s">
        <v>200</v>
      </c>
      <c r="C21" s="18" t="s">
        <v>201</v>
      </c>
      <c r="D21" s="6" t="s">
        <v>82</v>
      </c>
      <c r="E21" s="6" t="s">
        <v>71</v>
      </c>
      <c r="F21" s="6" t="s">
        <v>1</v>
      </c>
    </row>
    <row r="22" spans="1:6" x14ac:dyDescent="0.25">
      <c r="A22" s="6" t="s">
        <v>161</v>
      </c>
      <c r="B22" s="6" t="s">
        <v>202</v>
      </c>
      <c r="C22" s="18" t="s">
        <v>203</v>
      </c>
      <c r="D22" s="6" t="s">
        <v>103</v>
      </c>
      <c r="E22" s="6" t="s">
        <v>106</v>
      </c>
      <c r="F22" s="6" t="s">
        <v>204</v>
      </c>
    </row>
    <row r="23" spans="1:6" x14ac:dyDescent="0.25">
      <c r="A23" s="6" t="s">
        <v>161</v>
      </c>
      <c r="B23" s="6" t="s">
        <v>205</v>
      </c>
      <c r="C23" s="18" t="s">
        <v>206</v>
      </c>
      <c r="D23" s="6" t="s">
        <v>82</v>
      </c>
      <c r="E23" s="6" t="s">
        <v>72</v>
      </c>
      <c r="F23" s="6" t="s">
        <v>1</v>
      </c>
    </row>
    <row r="24" spans="1:6" x14ac:dyDescent="0.25">
      <c r="A24" s="6" t="s">
        <v>161</v>
      </c>
      <c r="B24" s="6" t="s">
        <v>207</v>
      </c>
      <c r="C24" s="18" t="s">
        <v>208</v>
      </c>
      <c r="D24" s="6" t="s">
        <v>82</v>
      </c>
      <c r="E24" s="6" t="s">
        <v>71</v>
      </c>
      <c r="F24" s="6" t="s">
        <v>1</v>
      </c>
    </row>
    <row r="25" spans="1:6" x14ac:dyDescent="0.25">
      <c r="A25" s="6" t="s">
        <v>161</v>
      </c>
      <c r="B25" s="6" t="s">
        <v>209</v>
      </c>
      <c r="C25" s="18" t="s">
        <v>210</v>
      </c>
      <c r="D25" s="6" t="s">
        <v>76</v>
      </c>
      <c r="E25" s="6" t="s">
        <v>72</v>
      </c>
      <c r="F25" s="6" t="s">
        <v>1</v>
      </c>
    </row>
    <row r="26" spans="1:6" x14ac:dyDescent="0.25">
      <c r="A26" s="6" t="s">
        <v>161</v>
      </c>
      <c r="B26" s="6" t="s">
        <v>211</v>
      </c>
      <c r="C26" s="18" t="s">
        <v>212</v>
      </c>
      <c r="D26" s="6" t="s">
        <v>76</v>
      </c>
      <c r="E26" s="6" t="s">
        <v>71</v>
      </c>
      <c r="F26" s="6" t="s">
        <v>1</v>
      </c>
    </row>
    <row r="27" spans="1:6" x14ac:dyDescent="0.25">
      <c r="A27" s="6" t="s">
        <v>161</v>
      </c>
      <c r="B27" s="6" t="s">
        <v>213</v>
      </c>
      <c r="C27" s="18" t="s">
        <v>214</v>
      </c>
      <c r="D27" s="6" t="s">
        <v>76</v>
      </c>
      <c r="E27" s="6" t="s">
        <v>71</v>
      </c>
      <c r="F27" s="6" t="s">
        <v>1</v>
      </c>
    </row>
    <row r="28" spans="1:6" x14ac:dyDescent="0.25">
      <c r="A28" s="6" t="s">
        <v>161</v>
      </c>
      <c r="B28" s="6" t="s">
        <v>215</v>
      </c>
      <c r="C28" s="18" t="s">
        <v>216</v>
      </c>
      <c r="D28" s="6" t="s">
        <v>97</v>
      </c>
      <c r="E28" s="6" t="s">
        <v>72</v>
      </c>
      <c r="F28" s="6" t="s">
        <v>1</v>
      </c>
    </row>
    <row r="29" spans="1:6" x14ac:dyDescent="0.25">
      <c r="A29" s="6" t="s">
        <v>161</v>
      </c>
      <c r="B29" s="6" t="s">
        <v>217</v>
      </c>
      <c r="C29" s="18" t="s">
        <v>218</v>
      </c>
      <c r="D29" s="6" t="s">
        <v>84</v>
      </c>
      <c r="E29" s="6" t="s">
        <v>72</v>
      </c>
      <c r="F29" s="6" t="s">
        <v>1</v>
      </c>
    </row>
    <row r="30" spans="1:6" x14ac:dyDescent="0.25">
      <c r="A30" s="6" t="s">
        <v>161</v>
      </c>
      <c r="B30" s="6" t="s">
        <v>219</v>
      </c>
      <c r="C30" s="18" t="s">
        <v>220</v>
      </c>
      <c r="D30" s="6" t="s">
        <v>84</v>
      </c>
      <c r="E30" s="6" t="s">
        <v>71</v>
      </c>
      <c r="F30" s="6" t="s">
        <v>1</v>
      </c>
    </row>
    <row r="31" spans="1:6" x14ac:dyDescent="0.25">
      <c r="A31" s="6" t="s">
        <v>161</v>
      </c>
      <c r="B31" s="6" t="s">
        <v>221</v>
      </c>
      <c r="C31" s="18" t="s">
        <v>222</v>
      </c>
      <c r="D31" s="6" t="s">
        <v>84</v>
      </c>
      <c r="E31" s="6" t="s">
        <v>71</v>
      </c>
      <c r="F31" s="6" t="s">
        <v>1</v>
      </c>
    </row>
    <row r="32" spans="1:6" x14ac:dyDescent="0.25">
      <c r="A32" s="6" t="s">
        <v>161</v>
      </c>
      <c r="B32" s="6" t="s">
        <v>223</v>
      </c>
      <c r="C32" s="18" t="s">
        <v>224</v>
      </c>
      <c r="D32" s="6" t="s">
        <v>80</v>
      </c>
      <c r="E32" s="6" t="s">
        <v>71</v>
      </c>
      <c r="F32" s="6" t="s">
        <v>1</v>
      </c>
    </row>
    <row r="33" spans="1:6" x14ac:dyDescent="0.25">
      <c r="A33" s="6" t="s">
        <v>161</v>
      </c>
      <c r="B33" s="6" t="s">
        <v>225</v>
      </c>
      <c r="C33" s="18" t="s">
        <v>226</v>
      </c>
      <c r="D33" s="6" t="s">
        <v>86</v>
      </c>
      <c r="E33" s="6" t="s">
        <v>72</v>
      </c>
      <c r="F33" s="6" t="s">
        <v>1</v>
      </c>
    </row>
    <row r="34" spans="1:6" x14ac:dyDescent="0.25">
      <c r="A34" s="6" t="s">
        <v>161</v>
      </c>
      <c r="B34" s="6" t="s">
        <v>227</v>
      </c>
      <c r="C34" s="18" t="s">
        <v>228</v>
      </c>
      <c r="D34" s="6" t="s">
        <v>86</v>
      </c>
      <c r="E34" s="6" t="s">
        <v>71</v>
      </c>
      <c r="F34" s="6" t="s">
        <v>1</v>
      </c>
    </row>
    <row r="35" spans="1:6" x14ac:dyDescent="0.25">
      <c r="A35" s="6" t="s">
        <v>161</v>
      </c>
      <c r="B35" s="6" t="s">
        <v>229</v>
      </c>
      <c r="C35" s="18" t="s">
        <v>230</v>
      </c>
      <c r="D35" s="6" t="s">
        <v>103</v>
      </c>
      <c r="E35" s="6" t="s">
        <v>106</v>
      </c>
      <c r="F35" s="6" t="s">
        <v>1</v>
      </c>
    </row>
    <row r="36" spans="1:6" x14ac:dyDescent="0.25">
      <c r="A36" s="6" t="s">
        <v>161</v>
      </c>
      <c r="B36" s="6" t="s">
        <v>231</v>
      </c>
      <c r="C36" s="18" t="s">
        <v>232</v>
      </c>
      <c r="D36" s="6" t="s">
        <v>55</v>
      </c>
      <c r="E36" s="6" t="s">
        <v>71</v>
      </c>
      <c r="F36" s="6" t="s">
        <v>1</v>
      </c>
    </row>
    <row r="37" spans="1:6" x14ac:dyDescent="0.25">
      <c r="A37" s="6" t="s">
        <v>161</v>
      </c>
      <c r="B37" s="6" t="s">
        <v>233</v>
      </c>
      <c r="C37" s="18" t="s">
        <v>234</v>
      </c>
      <c r="D37" s="6" t="s">
        <v>97</v>
      </c>
      <c r="E37" s="6" t="s">
        <v>72</v>
      </c>
      <c r="F37" s="6" t="s">
        <v>1</v>
      </c>
    </row>
    <row r="38" spans="1:6" x14ac:dyDescent="0.25">
      <c r="A38" s="6" t="s">
        <v>161</v>
      </c>
      <c r="B38" s="6" t="s">
        <v>235</v>
      </c>
      <c r="C38" s="18" t="s">
        <v>236</v>
      </c>
      <c r="D38" s="6" t="s">
        <v>97</v>
      </c>
      <c r="E38" s="6" t="s">
        <v>71</v>
      </c>
      <c r="F38" s="6" t="s">
        <v>1</v>
      </c>
    </row>
    <row r="39" spans="1:6" x14ac:dyDescent="0.25">
      <c r="A39" s="6" t="s">
        <v>161</v>
      </c>
      <c r="B39" s="6" t="s">
        <v>237</v>
      </c>
      <c r="C39" s="18" t="s">
        <v>238</v>
      </c>
      <c r="D39" s="6" t="s">
        <v>103</v>
      </c>
      <c r="E39" s="6" t="s">
        <v>106</v>
      </c>
      <c r="F39" s="6" t="s">
        <v>1</v>
      </c>
    </row>
    <row r="40" spans="1:6" x14ac:dyDescent="0.25">
      <c r="A40" s="6" t="s">
        <v>161</v>
      </c>
      <c r="B40" s="6" t="s">
        <v>239</v>
      </c>
      <c r="C40" s="18" t="s">
        <v>240</v>
      </c>
      <c r="D40" s="6" t="s">
        <v>103</v>
      </c>
      <c r="E40" s="6" t="s">
        <v>106</v>
      </c>
      <c r="F40" s="6" t="s">
        <v>241</v>
      </c>
    </row>
    <row r="41" spans="1:6" x14ac:dyDescent="0.25">
      <c r="A41" s="6" t="s">
        <v>161</v>
      </c>
      <c r="B41" s="6" t="s">
        <v>242</v>
      </c>
      <c r="C41" s="18" t="s">
        <v>243</v>
      </c>
      <c r="D41" s="6" t="s">
        <v>76</v>
      </c>
      <c r="E41" s="6" t="s">
        <v>71</v>
      </c>
      <c r="F41" s="6" t="s">
        <v>1</v>
      </c>
    </row>
    <row r="42" spans="1:6" x14ac:dyDescent="0.25">
      <c r="A42" s="6" t="s">
        <v>161</v>
      </c>
      <c r="B42" s="6" t="s">
        <v>244</v>
      </c>
      <c r="C42" s="18" t="s">
        <v>245</v>
      </c>
      <c r="D42" s="6" t="s">
        <v>76</v>
      </c>
      <c r="E42" s="6" t="s">
        <v>71</v>
      </c>
      <c r="F42" s="6" t="s">
        <v>1</v>
      </c>
    </row>
    <row r="43" spans="1:6" x14ac:dyDescent="0.25">
      <c r="A43" s="6" t="s">
        <v>161</v>
      </c>
      <c r="B43" s="6" t="s">
        <v>246</v>
      </c>
      <c r="C43" s="18" t="s">
        <v>247</v>
      </c>
      <c r="D43" s="6" t="s">
        <v>76</v>
      </c>
      <c r="E43" s="6" t="s">
        <v>71</v>
      </c>
      <c r="F43" s="6" t="s">
        <v>1</v>
      </c>
    </row>
    <row r="44" spans="1:6" x14ac:dyDescent="0.25">
      <c r="A44" s="6" t="s">
        <v>161</v>
      </c>
      <c r="B44" s="6" t="s">
        <v>248</v>
      </c>
      <c r="C44" s="18" t="s">
        <v>249</v>
      </c>
      <c r="D44" s="6" t="s">
        <v>76</v>
      </c>
      <c r="E44" s="6" t="s">
        <v>71</v>
      </c>
      <c r="F44" s="6" t="s">
        <v>1</v>
      </c>
    </row>
    <row r="45" spans="1:6" x14ac:dyDescent="0.25">
      <c r="A45" s="6" t="s">
        <v>161</v>
      </c>
      <c r="B45" s="6" t="s">
        <v>250</v>
      </c>
      <c r="C45" s="18" t="s">
        <v>251</v>
      </c>
      <c r="D45" s="6" t="s">
        <v>76</v>
      </c>
      <c r="E45" s="6" t="s">
        <v>71</v>
      </c>
      <c r="F45" s="6" t="s">
        <v>1</v>
      </c>
    </row>
    <row r="46" spans="1:6" x14ac:dyDescent="0.25">
      <c r="A46" s="6" t="s">
        <v>161</v>
      </c>
      <c r="B46" s="6" t="s">
        <v>252</v>
      </c>
      <c r="C46" s="18" t="s">
        <v>253</v>
      </c>
      <c r="D46" s="6" t="s">
        <v>76</v>
      </c>
      <c r="E46" s="6" t="s">
        <v>71</v>
      </c>
      <c r="F46" s="6" t="s">
        <v>1</v>
      </c>
    </row>
    <row r="47" spans="1:6" x14ac:dyDescent="0.25">
      <c r="A47" s="6" t="s">
        <v>161</v>
      </c>
      <c r="B47" s="6" t="s">
        <v>254</v>
      </c>
      <c r="C47" s="18" t="s">
        <v>255</v>
      </c>
      <c r="D47" s="6" t="s">
        <v>76</v>
      </c>
      <c r="E47" s="6" t="s">
        <v>72</v>
      </c>
      <c r="F47" s="6" t="s">
        <v>1</v>
      </c>
    </row>
    <row r="48" spans="1:6" x14ac:dyDescent="0.25">
      <c r="A48" s="6" t="s">
        <v>161</v>
      </c>
      <c r="B48" s="6" t="s">
        <v>256</v>
      </c>
      <c r="C48" s="18" t="s">
        <v>257</v>
      </c>
      <c r="D48" s="6" t="s">
        <v>103</v>
      </c>
      <c r="E48" s="6" t="s">
        <v>106</v>
      </c>
      <c r="F48" s="6" t="s">
        <v>241</v>
      </c>
    </row>
    <row r="49" spans="1:6" x14ac:dyDescent="0.25">
      <c r="A49" s="6" t="s">
        <v>161</v>
      </c>
      <c r="B49" s="6" t="s">
        <v>258</v>
      </c>
      <c r="C49" s="18" t="s">
        <v>259</v>
      </c>
      <c r="D49" s="6" t="s">
        <v>260</v>
      </c>
      <c r="E49" s="6" t="s">
        <v>261</v>
      </c>
      <c r="F49" s="6" t="s">
        <v>262</v>
      </c>
    </row>
    <row r="50" spans="1:6" x14ac:dyDescent="0.25">
      <c r="A50" s="6" t="s">
        <v>161</v>
      </c>
      <c r="B50" s="6" t="s">
        <v>263</v>
      </c>
      <c r="C50" s="18" t="s">
        <v>264</v>
      </c>
      <c r="D50" s="6" t="s">
        <v>260</v>
      </c>
      <c r="E50" s="6" t="s">
        <v>261</v>
      </c>
      <c r="F50" s="6" t="s">
        <v>262</v>
      </c>
    </row>
    <row r="51" spans="1:6" x14ac:dyDescent="0.25">
      <c r="A51" s="6" t="s">
        <v>161</v>
      </c>
      <c r="B51" s="6" t="s">
        <v>265</v>
      </c>
      <c r="C51" s="18" t="s">
        <v>266</v>
      </c>
      <c r="D51" s="6" t="s">
        <v>99</v>
      </c>
      <c r="E51" s="6" t="s">
        <v>72</v>
      </c>
      <c r="F51" s="6" t="s">
        <v>1</v>
      </c>
    </row>
    <row r="52" spans="1:6" x14ac:dyDescent="0.25">
      <c r="A52" s="6" t="s">
        <v>161</v>
      </c>
      <c r="B52" s="6" t="s">
        <v>267</v>
      </c>
      <c r="C52" s="18" t="s">
        <v>268</v>
      </c>
      <c r="D52" s="6" t="s">
        <v>99</v>
      </c>
      <c r="E52" s="6" t="s">
        <v>71</v>
      </c>
      <c r="F52" s="6" t="s">
        <v>1</v>
      </c>
    </row>
    <row r="53" spans="1:6" x14ac:dyDescent="0.25">
      <c r="A53" s="6" t="s">
        <v>161</v>
      </c>
      <c r="B53" s="6" t="s">
        <v>269</v>
      </c>
      <c r="C53" s="18" t="s">
        <v>270</v>
      </c>
      <c r="D53" s="6" t="s">
        <v>103</v>
      </c>
      <c r="E53" s="6" t="s">
        <v>106</v>
      </c>
      <c r="F53" s="6" t="s">
        <v>1</v>
      </c>
    </row>
    <row r="54" spans="1:6" x14ac:dyDescent="0.25">
      <c r="A54" s="6" t="s">
        <v>271</v>
      </c>
      <c r="B54" s="6" t="s">
        <v>272</v>
      </c>
      <c r="C54" s="18" t="s">
        <v>273</v>
      </c>
      <c r="D54" s="6" t="s">
        <v>88</v>
      </c>
      <c r="E54" s="6" t="s">
        <v>72</v>
      </c>
      <c r="F54" s="6" t="s">
        <v>1</v>
      </c>
    </row>
    <row r="55" spans="1:6" x14ac:dyDescent="0.25">
      <c r="A55" s="6" t="s">
        <v>271</v>
      </c>
      <c r="B55" s="6" t="s">
        <v>274</v>
      </c>
      <c r="C55" s="18" t="s">
        <v>275</v>
      </c>
      <c r="D55" s="6" t="s">
        <v>88</v>
      </c>
      <c r="E55" s="6" t="s">
        <v>71</v>
      </c>
      <c r="F55" s="6" t="s">
        <v>1</v>
      </c>
    </row>
    <row r="56" spans="1:6" x14ac:dyDescent="0.25">
      <c r="A56" s="6" t="s">
        <v>271</v>
      </c>
      <c r="B56" s="6" t="s">
        <v>276</v>
      </c>
      <c r="C56" s="18" t="s">
        <v>277</v>
      </c>
      <c r="D56" s="6" t="s">
        <v>88</v>
      </c>
      <c r="E56" s="6" t="s">
        <v>71</v>
      </c>
      <c r="F56" s="6" t="s">
        <v>1</v>
      </c>
    </row>
    <row r="57" spans="1:6" x14ac:dyDescent="0.25">
      <c r="A57" s="6" t="s">
        <v>271</v>
      </c>
      <c r="B57" s="6" t="s">
        <v>278</v>
      </c>
      <c r="C57" s="18" t="s">
        <v>279</v>
      </c>
      <c r="D57" s="6" t="s">
        <v>88</v>
      </c>
      <c r="E57" s="6" t="s">
        <v>71</v>
      </c>
      <c r="F57" s="6" t="s">
        <v>1</v>
      </c>
    </row>
    <row r="58" spans="1:6" x14ac:dyDescent="0.25">
      <c r="A58" s="6" t="s">
        <v>271</v>
      </c>
      <c r="B58" s="6" t="s">
        <v>280</v>
      </c>
      <c r="C58" s="18" t="s">
        <v>281</v>
      </c>
      <c r="D58" s="6" t="s">
        <v>88</v>
      </c>
      <c r="E58" s="6" t="s">
        <v>71</v>
      </c>
      <c r="F58" s="6" t="s">
        <v>1</v>
      </c>
    </row>
    <row r="59" spans="1:6" x14ac:dyDescent="0.25">
      <c r="A59" s="6" t="s">
        <v>271</v>
      </c>
      <c r="B59" s="6" t="s">
        <v>282</v>
      </c>
      <c r="C59" s="18" t="s">
        <v>283</v>
      </c>
      <c r="D59" s="6" t="s">
        <v>88</v>
      </c>
      <c r="E59" s="6" t="s">
        <v>71</v>
      </c>
      <c r="F59" s="6" t="s">
        <v>1</v>
      </c>
    </row>
    <row r="60" spans="1:6" x14ac:dyDescent="0.25">
      <c r="A60" s="6" t="s">
        <v>271</v>
      </c>
      <c r="B60" s="6" t="s">
        <v>284</v>
      </c>
      <c r="C60" s="18" t="s">
        <v>285</v>
      </c>
      <c r="D60" s="6" t="s">
        <v>90</v>
      </c>
      <c r="E60" s="6" t="s">
        <v>72</v>
      </c>
      <c r="F60" s="6" t="s">
        <v>286</v>
      </c>
    </row>
    <row r="61" spans="1:6" x14ac:dyDescent="0.25">
      <c r="A61" s="6" t="s">
        <v>271</v>
      </c>
      <c r="B61" s="6" t="s">
        <v>287</v>
      </c>
      <c r="C61" s="18" t="s">
        <v>288</v>
      </c>
      <c r="D61" s="6" t="s">
        <v>90</v>
      </c>
      <c r="E61" s="6" t="s">
        <v>72</v>
      </c>
      <c r="F61" s="6" t="s">
        <v>286</v>
      </c>
    </row>
    <row r="62" spans="1:6" x14ac:dyDescent="0.25">
      <c r="A62" s="6" t="s">
        <v>271</v>
      </c>
      <c r="B62" s="6" t="s">
        <v>289</v>
      </c>
      <c r="C62" s="18" t="s">
        <v>290</v>
      </c>
      <c r="D62" s="6" t="s">
        <v>90</v>
      </c>
      <c r="E62" s="6" t="s">
        <v>71</v>
      </c>
      <c r="F62" s="6" t="s">
        <v>1</v>
      </c>
    </row>
    <row r="63" spans="1:6" x14ac:dyDescent="0.25">
      <c r="A63" s="6" t="s">
        <v>271</v>
      </c>
      <c r="B63" s="6" t="s">
        <v>291</v>
      </c>
      <c r="C63" s="18" t="s">
        <v>292</v>
      </c>
      <c r="D63" s="6" t="s">
        <v>90</v>
      </c>
      <c r="E63" s="6" t="s">
        <v>71</v>
      </c>
      <c r="F63" s="6" t="s">
        <v>1</v>
      </c>
    </row>
    <row r="64" spans="1:6" x14ac:dyDescent="0.25">
      <c r="A64" s="6" t="s">
        <v>271</v>
      </c>
      <c r="B64" s="6" t="s">
        <v>293</v>
      </c>
      <c r="C64" s="18" t="s">
        <v>294</v>
      </c>
      <c r="D64" s="6" t="s">
        <v>90</v>
      </c>
      <c r="E64" s="6" t="s">
        <v>71</v>
      </c>
      <c r="F64" s="6" t="s">
        <v>1</v>
      </c>
    </row>
    <row r="65" spans="1:6" x14ac:dyDescent="0.25">
      <c r="A65" s="6" t="s">
        <v>271</v>
      </c>
      <c r="B65" s="6" t="s">
        <v>295</v>
      </c>
      <c r="C65" s="18" t="s">
        <v>296</v>
      </c>
      <c r="D65" s="6" t="s">
        <v>55</v>
      </c>
      <c r="E65" s="6" t="s">
        <v>72</v>
      </c>
      <c r="F65" s="6" t="s">
        <v>1</v>
      </c>
    </row>
    <row r="66" spans="1:6" x14ac:dyDescent="0.25">
      <c r="A66" s="6" t="s">
        <v>271</v>
      </c>
      <c r="B66" s="6" t="s">
        <v>297</v>
      </c>
      <c r="C66" s="18" t="s">
        <v>298</v>
      </c>
      <c r="D66" s="6" t="s">
        <v>55</v>
      </c>
      <c r="E66" s="6" t="s">
        <v>71</v>
      </c>
      <c r="F66" s="6" t="s">
        <v>1</v>
      </c>
    </row>
    <row r="67" spans="1:6" x14ac:dyDescent="0.25">
      <c r="A67" s="6" t="s">
        <v>271</v>
      </c>
      <c r="B67" s="6" t="s">
        <v>299</v>
      </c>
      <c r="C67" s="18" t="s">
        <v>300</v>
      </c>
      <c r="D67" s="6" t="s">
        <v>93</v>
      </c>
      <c r="E67" s="6" t="s">
        <v>72</v>
      </c>
      <c r="F67" s="6" t="s">
        <v>1</v>
      </c>
    </row>
    <row r="68" spans="1:6" x14ac:dyDescent="0.25">
      <c r="A68" s="6" t="s">
        <v>271</v>
      </c>
      <c r="B68" s="6" t="s">
        <v>301</v>
      </c>
      <c r="C68" s="18" t="s">
        <v>302</v>
      </c>
      <c r="D68" s="6" t="s">
        <v>93</v>
      </c>
      <c r="E68" s="6" t="s">
        <v>71</v>
      </c>
      <c r="F68" s="6" t="s">
        <v>1</v>
      </c>
    </row>
    <row r="69" spans="1:6" x14ac:dyDescent="0.25">
      <c r="A69" s="6" t="s">
        <v>271</v>
      </c>
      <c r="B69" s="6" t="s">
        <v>303</v>
      </c>
      <c r="C69" s="18" t="s">
        <v>304</v>
      </c>
      <c r="D69" s="6" t="s">
        <v>95</v>
      </c>
      <c r="E69" s="6" t="s">
        <v>72</v>
      </c>
      <c r="F69" s="6" t="s">
        <v>1</v>
      </c>
    </row>
    <row r="70" spans="1:6" x14ac:dyDescent="0.25">
      <c r="A70" s="6" t="s">
        <v>271</v>
      </c>
      <c r="B70" s="6" t="s">
        <v>305</v>
      </c>
      <c r="C70" s="18" t="s">
        <v>306</v>
      </c>
      <c r="D70" s="6" t="s">
        <v>95</v>
      </c>
      <c r="E70" s="6" t="s">
        <v>71</v>
      </c>
      <c r="F70" s="6" t="s">
        <v>1</v>
      </c>
    </row>
    <row r="71" spans="1:6" x14ac:dyDescent="0.25">
      <c r="A71" s="6" t="s">
        <v>271</v>
      </c>
      <c r="B71" s="6" t="s">
        <v>307</v>
      </c>
      <c r="C71" s="18" t="s">
        <v>308</v>
      </c>
      <c r="D71" s="6" t="s">
        <v>95</v>
      </c>
      <c r="E71" s="6" t="s">
        <v>72</v>
      </c>
      <c r="F71" s="6" t="s">
        <v>1</v>
      </c>
    </row>
    <row r="72" spans="1:6" x14ac:dyDescent="0.25">
      <c r="A72" s="6" t="s">
        <v>271</v>
      </c>
      <c r="B72" s="6" t="s">
        <v>309</v>
      </c>
      <c r="C72" s="18" t="s">
        <v>310</v>
      </c>
      <c r="D72" s="6" t="s">
        <v>95</v>
      </c>
      <c r="E72" s="6" t="s">
        <v>72</v>
      </c>
      <c r="F72" s="6" t="s">
        <v>1</v>
      </c>
    </row>
    <row r="73" spans="1:6" x14ac:dyDescent="0.25">
      <c r="A73" s="6" t="s">
        <v>271</v>
      </c>
      <c r="B73" s="6" t="s">
        <v>311</v>
      </c>
      <c r="C73" s="18" t="s">
        <v>312</v>
      </c>
      <c r="D73" s="6" t="s">
        <v>95</v>
      </c>
      <c r="E73" s="6" t="s">
        <v>72</v>
      </c>
      <c r="F73" s="6" t="s">
        <v>1</v>
      </c>
    </row>
    <row r="74" spans="1:6" x14ac:dyDescent="0.25">
      <c r="A74" s="6" t="s">
        <v>313</v>
      </c>
      <c r="B74" s="6" t="s">
        <v>314</v>
      </c>
      <c r="C74" s="18" t="s">
        <v>315</v>
      </c>
      <c r="D74" s="6" t="s">
        <v>107</v>
      </c>
      <c r="E74" s="6" t="s">
        <v>110</v>
      </c>
      <c r="F74" s="6" t="s">
        <v>1</v>
      </c>
    </row>
    <row r="75" spans="1:6" x14ac:dyDescent="0.25">
      <c r="A75" s="6" t="s">
        <v>313</v>
      </c>
      <c r="B75" s="6" t="s">
        <v>316</v>
      </c>
      <c r="C75" s="18" t="s">
        <v>317</v>
      </c>
      <c r="D75" s="6" t="s">
        <v>107</v>
      </c>
      <c r="E75" s="6" t="s">
        <v>110</v>
      </c>
      <c r="F75" s="6" t="s">
        <v>1</v>
      </c>
    </row>
    <row r="76" spans="1:6" x14ac:dyDescent="0.25">
      <c r="A76" s="6" t="s">
        <v>313</v>
      </c>
      <c r="B76" s="6" t="s">
        <v>318</v>
      </c>
      <c r="C76" s="18" t="s">
        <v>319</v>
      </c>
      <c r="D76" s="6" t="s">
        <v>107</v>
      </c>
      <c r="E76" s="6" t="s">
        <v>110</v>
      </c>
      <c r="F76" s="6" t="s">
        <v>1</v>
      </c>
    </row>
    <row r="77" spans="1:6" x14ac:dyDescent="0.25">
      <c r="A77" s="6" t="s">
        <v>313</v>
      </c>
      <c r="B77" s="6" t="s">
        <v>320</v>
      </c>
      <c r="C77" s="18" t="s">
        <v>321</v>
      </c>
      <c r="D77" s="6" t="s">
        <v>107</v>
      </c>
      <c r="E77" s="6" t="s">
        <v>110</v>
      </c>
      <c r="F77" s="6" t="s">
        <v>1</v>
      </c>
    </row>
    <row r="78" spans="1:6" x14ac:dyDescent="0.25">
      <c r="A78" s="6" t="s">
        <v>313</v>
      </c>
      <c r="B78" s="6" t="s">
        <v>322</v>
      </c>
      <c r="C78" s="18" t="s">
        <v>323</v>
      </c>
      <c r="D78" s="6" t="s">
        <v>107</v>
      </c>
      <c r="E78" s="6" t="s">
        <v>110</v>
      </c>
      <c r="F78" s="6" t="s">
        <v>1</v>
      </c>
    </row>
    <row r="79" spans="1:6" x14ac:dyDescent="0.25">
      <c r="A79" s="6" t="s">
        <v>313</v>
      </c>
      <c r="B79" s="6" t="s">
        <v>324</v>
      </c>
      <c r="C79" s="18" t="s">
        <v>325</v>
      </c>
      <c r="D79" s="6" t="s">
        <v>107</v>
      </c>
      <c r="E79" s="6" t="s">
        <v>110</v>
      </c>
      <c r="F79" s="6" t="s">
        <v>1</v>
      </c>
    </row>
    <row r="80" spans="1:6" x14ac:dyDescent="0.25">
      <c r="A80" s="6" t="s">
        <v>313</v>
      </c>
      <c r="B80" s="6" t="s">
        <v>326</v>
      </c>
      <c r="C80" s="18" t="s">
        <v>327</v>
      </c>
      <c r="D80" s="6" t="s">
        <v>107</v>
      </c>
      <c r="E80" s="6" t="s">
        <v>110</v>
      </c>
      <c r="F80" s="6" t="s">
        <v>1</v>
      </c>
    </row>
    <row r="81" spans="1:6" x14ac:dyDescent="0.25">
      <c r="A81" s="6" t="s">
        <v>313</v>
      </c>
      <c r="B81" s="6" t="s">
        <v>328</v>
      </c>
      <c r="C81" s="18" t="s">
        <v>329</v>
      </c>
      <c r="D81" s="6" t="s">
        <v>107</v>
      </c>
      <c r="E81" s="6" t="s">
        <v>110</v>
      </c>
      <c r="F81" s="6" t="s">
        <v>1</v>
      </c>
    </row>
    <row r="82" spans="1:6" x14ac:dyDescent="0.25">
      <c r="A82" s="6" t="s">
        <v>313</v>
      </c>
      <c r="B82" s="6" t="s">
        <v>330</v>
      </c>
      <c r="C82" s="18" t="s">
        <v>331</v>
      </c>
      <c r="D82" s="6" t="s">
        <v>107</v>
      </c>
      <c r="E82" s="6" t="s">
        <v>110</v>
      </c>
      <c r="F82" s="6" t="s">
        <v>1</v>
      </c>
    </row>
    <row r="83" spans="1:6" x14ac:dyDescent="0.25">
      <c r="A83" s="6" t="s">
        <v>313</v>
      </c>
      <c r="B83" s="6" t="s">
        <v>332</v>
      </c>
      <c r="C83" s="18" t="s">
        <v>333</v>
      </c>
      <c r="D83" s="6" t="s">
        <v>107</v>
      </c>
      <c r="E83" s="6" t="s">
        <v>110</v>
      </c>
      <c r="F83" s="6" t="s">
        <v>1</v>
      </c>
    </row>
    <row r="84" spans="1:6" x14ac:dyDescent="0.25">
      <c r="A84" s="6" t="s">
        <v>313</v>
      </c>
      <c r="B84" s="6" t="s">
        <v>334</v>
      </c>
      <c r="C84" s="18" t="s">
        <v>335</v>
      </c>
      <c r="D84" s="6" t="s">
        <v>107</v>
      </c>
      <c r="E84" s="6" t="s">
        <v>110</v>
      </c>
      <c r="F84" s="6" t="s">
        <v>1</v>
      </c>
    </row>
  </sheetData>
  <autoFilter ref="A1:F1"/>
  <conditionalFormatting sqref="E2:E84">
    <cfRule type="cellIs" dxfId="5" priority="1" operator="equal">
      <formula>"Edit"</formula>
    </cfRule>
    <cfRule type="cellIs" dxfId="6" priority="2" operator="equal">
      <formula>"View"</formula>
    </cfRule>
    <cfRule type="cellIs" dxfId="7" priority="3" operator="equal">
      <formula>"On"</formula>
    </cfRule>
    <cfRule type="cellIs" dxfId="8" priority="4" operator="equal">
      <formula>"Owner only"</formula>
    </cfRule>
    <cfRule type="cellIs" dxfId="9" priority="5" operator="equal">
      <formula>"Remove"</formula>
    </cfRule>
  </conditionalFormatting>
  <dataValidations count="4">
    <dataValidation type="list" allowBlank="1" showErrorMessage="1" errorStyle="warning" error="Pick a category from the Presets matrix, or click Yes to keep this value." sqref="D10:D84">
      <formula1>Lists!$F$2:$F$40</formula1>
    </dataValidation>
    <dataValidation type="list" allowBlank="1" showErrorMessage="1" errorStyle="warning" error="Pick a category from the Presets matrix, or click Yes to keep this value." sqref="D2:D84">
      <formula1>Lists!$F$2:$F$40</formula1>
    </dataValidation>
    <dataValidation type="list" allowBlank="1" showErrorMessage="1" errorStyle="warning" error="Add new options on the Lists tab, or click Yes to keep this value." sqref="E10:E84">
      <formula1>Lists!$G$2:$G$20</formula1>
    </dataValidation>
    <dataValidation type="list" allowBlank="1" showErrorMessage="1" errorStyle="warning" error="Add new options on the Lists tab, or click Yes to keep this value." sqref="E2:E84">
      <formula1>Lists!$G$2:$G$20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FormatPr defaultRowHeight="15" outlineLevelRow="0" outlineLevelCol="0" x14ac:dyDescent="55"/>
  <cols>
    <col min="1" max="1" width="36" customWidth="1"/>
    <col min="2" max="2" width="22" customWidth="1"/>
  </cols>
  <sheetData>
    <row r="1" ht="34" customHeight="1" spans="1:2" x14ac:dyDescent="0.25">
      <c r="A1" s="4" t="s">
        <v>336</v>
      </c>
      <c r="B1" s="4" t="s">
        <v>337</v>
      </c>
    </row>
    <row r="2" spans="1:2" x14ac:dyDescent="0.25">
      <c r="A2" s="19" t="str">
        <f>IF('3. Presets matrix'!A4="","",'3. Presets matrix'!A4)</f>
        <v>Staff roster &amp; profiles</v>
      </c>
      <c r="B2" s="19">
        <f>IF(A2="","",COUNTIF('5. Old 83 to new'!$D$2:$D$84,A2))</f>
        <v>2</v>
      </c>
    </row>
    <row r="3" spans="1:2" x14ac:dyDescent="0.25">
      <c r="A3" s="19" t="str">
        <f>IF('3. Presets matrix'!A5="","",'3. Presets matrix'!A5)</f>
        <v>Hire &amp; deactivate staff</v>
      </c>
      <c r="B3" s="19">
        <f>IF(A3="","",COUNTIF('5. Old 83 to new'!$D$2:$D$84,A3))</f>
        <v>2</v>
      </c>
    </row>
    <row r="4" spans="1:2" x14ac:dyDescent="0.25">
      <c r="A4" s="19" t="str">
        <f>IF('3. Presets matrix'!A6="","",'3. Presets matrix'!A6)</f>
        <v>Staff compliance file &amp; training</v>
      </c>
      <c r="B4" s="19">
        <f>IF(A4="","",COUNTIF('5. Old 83 to new'!$D$2:$D$84,A4))</f>
        <v>13</v>
      </c>
    </row>
    <row r="5" spans="1:2" x14ac:dyDescent="0.25">
      <c r="A5" s="19" t="str">
        <f>IF('3. Presets matrix'!A7="","",'3. Presets matrix'!A7)</f>
        <v>Clients &amp; charts</v>
      </c>
      <c r="B5" s="19">
        <f>IF(A5="","",COUNTIF('5. Old 83 to new'!$D$2:$D$84,A5))</f>
        <v>6</v>
      </c>
    </row>
    <row r="6" spans="1:2" x14ac:dyDescent="0.25">
      <c r="A6" s="19" t="str">
        <f>IF('3. Presets matrix'!A8="","",'3. Presets matrix'!A8)</f>
        <v>Client medical &amp; medications</v>
      </c>
      <c r="B6" s="19">
        <f>IF(A6="","",COUNTIF('5. Old 83 to new'!$D$2:$D$84,A6))</f>
        <v>3</v>
      </c>
    </row>
    <row r="7" spans="1:2" x14ac:dyDescent="0.25">
      <c r="A7" s="19" t="str">
        <f>IF('3. Presets matrix'!A9="","",'3. Presets matrix'!A9)</f>
        <v>Documentation review</v>
      </c>
      <c r="B7" s="19">
        <f>IF(A7="","",COUNTIF('5. Old 83 to new'!$D$2:$D$84,A7))</f>
        <v>6</v>
      </c>
    </row>
    <row r="8" spans="1:2" x14ac:dyDescent="0.25">
      <c r="A8" s="19" t="str">
        <f>IF('3. Presets matrix'!A10="","",'3. Presets matrix'!A10)</f>
        <v>Incidents</v>
      </c>
      <c r="B8" s="19">
        <f>IF(A8="","",COUNTIF('5. Old 83 to new'!$D$2:$D$84,A8))</f>
        <v>3</v>
      </c>
    </row>
    <row r="9" spans="1:2" x14ac:dyDescent="0.25">
      <c r="A9" s="19" t="str">
        <f>IF('3. Presets matrix'!A11="","",'3. Presets matrix'!A11)</f>
        <v>HRC / rights restrictions</v>
      </c>
      <c r="B9" s="19">
        <f>IF(A9="","",COUNTIF('5. Old 83 to new'!$D$2:$D$84,A9))</f>
        <v>2</v>
      </c>
    </row>
    <row r="10" spans="1:2" x14ac:dyDescent="0.25">
      <c r="A10" s="19" t="str">
        <f>IF('3. Presets matrix'!A12="","",'3. Presets matrix'!A12)</f>
        <v>Scheduling</v>
      </c>
      <c r="B10" s="19">
        <f>IF(A10="","",COUNTIF('5. Old 83 to new'!$D$2:$D$84,A10))</f>
        <v>6</v>
      </c>
    </row>
    <row r="11" spans="1:2" x14ac:dyDescent="0.25">
      <c r="A11" s="19" t="str">
        <f>IF('3. Presets matrix'!A13="","",'3. Presets matrix'!A13)</f>
        <v>Timesheets &amp; EVV</v>
      </c>
      <c r="B11" s="19">
        <f>IF(A11="","",COUNTIF('5. Old 83 to new'!$D$2:$D$84,A11))</f>
        <v>5</v>
      </c>
    </row>
    <row r="12" spans="1:2" x14ac:dyDescent="0.25">
      <c r="A12" s="19" t="str">
        <f>IF('3. Presets matrix'!A14="","",'3. Presets matrix'!A14)</f>
        <v>Billing</v>
      </c>
      <c r="B12" s="19">
        <f>IF(A12="","",COUNTIF('5. Old 83 to new'!$D$2:$D$84,A12))</f>
        <v>3</v>
      </c>
    </row>
    <row r="13" spans="1:2" x14ac:dyDescent="0.25">
      <c r="A13" s="19" t="str">
        <f>IF('3. Presets matrix'!A15="","",'3. Presets matrix'!A15)</f>
        <v>Payroll</v>
      </c>
      <c r="B13" s="19">
        <f>IF(A13="","",COUNTIF('5. Old 83 to new'!$D$2:$D$84,A13))</f>
        <v>2</v>
      </c>
    </row>
    <row r="14" spans="1:2" x14ac:dyDescent="0.25">
      <c r="A14" s="19" t="str">
        <f>IF('3. Presets matrix'!A16="","",'3. Presets matrix'!A16)</f>
        <v>Financial reports</v>
      </c>
      <c r="B14" s="19">
        <f>IF(A14="","",COUNTIF('5. Old 83 to new'!$D$2:$D$84,A14))</f>
        <v>5</v>
      </c>
    </row>
    <row r="15" spans="1:2" x14ac:dyDescent="0.25">
      <c r="A15" s="19" t="str">
        <f>IF('3. Presets matrix'!A17="","",'3. Presets matrix'!A17)</f>
        <v>Reports, analytics &amp; audit trail</v>
      </c>
      <c r="B15" s="19">
        <f>IF(A15="","",COUNTIF('5. Old 83 to new'!$D$2:$D$84,A15))</f>
        <v>3</v>
      </c>
    </row>
    <row r="16" spans="1:2" x14ac:dyDescent="0.25">
      <c r="A16" s="19" t="str">
        <f>IF('3. Presets matrix'!A18="","",'3. Presets matrix'!A18)</f>
        <v>Hosts &amp; referrals</v>
      </c>
      <c r="B16" s="19">
        <f>IF(A16="","",COUNTIF('5. Old 83 to new'!$D$2:$D$84,A16))</f>
        <v>2</v>
      </c>
    </row>
    <row r="17" spans="1:2" x14ac:dyDescent="0.25">
      <c r="A17" s="19" t="str">
        <f>IF('3. Presets matrix'!A19="","",'3. Presets matrix'!A19)</f>
        <v>Employee loans</v>
      </c>
      <c r="B17" s="19">
        <f>IF(A17="","",COUNTIF('5. Old 83 to new'!$D$2:$D$84,A17))</f>
        <v>0</v>
      </c>
    </row>
    <row r="18" spans="1:2" x14ac:dyDescent="0.25">
      <c r="A18" s="19" t="str">
        <f>IF('3. Presets matrix'!A20="","",'3. Presets matrix'!A20)</f>
        <v>Agency settings &amp; permissions</v>
      </c>
      <c r="B18" s="19">
        <f>IF(A18="","",COUNTIF('5. Old 83 to new'!$D$2:$D$84,A18))</f>
        <v>7</v>
      </c>
    </row>
    <row r="19" spans="1:2" x14ac:dyDescent="0.25">
      <c r="A19" s="19" t="str">
        <f>IF('3. Presets matrix'!A21="","",'3. Presets matrix'!A21)</f>
        <v>Phone app basics</v>
      </c>
      <c r="B19" s="19">
        <f>IF(A19="","",COUNTIF('5. Old 83 to new'!$D$2:$D$84,A19))</f>
        <v>11</v>
      </c>
    </row>
    <row r="20" spans="1:2" x14ac:dyDescent="0.25">
      <c r="A20" s="19" t="str">
        <f>IF('3. Presets matrix'!A22="","",'3. Presets matrix'!A22)</f>
        <v/>
      </c>
      <c r="B20" s="19" t="str">
        <f>IF(A20="","",COUNTIF('5. Old 83 to new'!$D$2:$D$84,A20))</f>
        <v/>
      </c>
    </row>
    <row r="21" spans="1:2" x14ac:dyDescent="0.25">
      <c r="A21" s="19" t="str">
        <f>IF('3. Presets matrix'!A23="","",'3. Presets matrix'!A23)</f>
        <v/>
      </c>
      <c r="B21" s="19" t="str">
        <f>IF(A21="","",COUNTIF('5. Old 83 to new'!$D$2:$D$84,A21))</f>
        <v/>
      </c>
    </row>
    <row r="22" spans="1:2" x14ac:dyDescent="0.25">
      <c r="A22" s="19" t="str">
        <f>IF('3. Presets matrix'!A24="","",'3. Presets matrix'!A24)</f>
        <v/>
      </c>
      <c r="B22" s="19" t="str">
        <f>IF(A22="","",COUNTIF('5. Old 83 to new'!$D$2:$D$84,A22))</f>
        <v/>
      </c>
    </row>
    <row r="23" spans="1:2" x14ac:dyDescent="0.25">
      <c r="A23" s="19" t="str">
        <f>IF('3. Presets matrix'!A25="","",'3. Presets matrix'!A25)</f>
        <v/>
      </c>
      <c r="B23" s="19" t="str">
        <f>IF(A23="","",COUNTIF('5. Old 83 to new'!$D$2:$D$84,A23))</f>
        <v/>
      </c>
    </row>
    <row r="24" spans="1:2" x14ac:dyDescent="0.25">
      <c r="A24" s="19" t="str">
        <f>"(HIVE internal)"</f>
        <v>(HIVE internal)</v>
      </c>
      <c r="B24" s="19">
        <f>IF(A24="","",COUNTIF('5. Old 83 to new'!$D$2:$D$84,A24))</f>
        <v>2</v>
      </c>
    </row>
    <row r="25" spans="1:2" s="14" customFormat="1" x14ac:dyDescent="0.25">
      <c r="A25" s="14" t="s">
        <v>338</v>
      </c>
      <c r="B25" s="14">
        <f>SUM(B2:B24)</f>
        <v>83</v>
      </c>
    </row>
    <row r="27" spans="1:1" x14ac:dyDescent="0.25">
      <c r="A27" t="s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FormatPr defaultRowHeight="15" outlineLevelRow="0" outlineLevelCol="0" x14ac:dyDescent="55"/>
  <cols>
    <col min="1" max="1" width="16" customWidth="1"/>
    <col min="2" max="2" width="12" customWidth="1"/>
    <col min="3" max="3" width="14" customWidth="1"/>
    <col min="4" max="4" width="30" customWidth="1"/>
    <col min="5" max="5" width="22" customWidth="1"/>
    <col min="6" max="6" width="36" customWidth="1"/>
    <col min="7" max="7" width="16" customWidth="1"/>
  </cols>
  <sheetData>
    <row r="1" ht="34" customHeight="1" spans="1:7" x14ac:dyDescent="0.25">
      <c r="A1" s="4" t="s">
        <v>340</v>
      </c>
      <c r="B1" s="4" t="s">
        <v>341</v>
      </c>
      <c r="C1" s="4" t="s">
        <v>342</v>
      </c>
      <c r="D1" s="4" t="s">
        <v>343</v>
      </c>
      <c r="E1" s="4" t="s">
        <v>51</v>
      </c>
      <c r="F1" s="4" t="s">
        <v>344</v>
      </c>
      <c r="G1" s="4" t="s">
        <v>345</v>
      </c>
    </row>
    <row r="2" spans="1:7" x14ac:dyDescent="0.25">
      <c r="A2" t="s">
        <v>71</v>
      </c>
      <c r="B2" t="s">
        <v>110</v>
      </c>
      <c r="C2" t="s">
        <v>29</v>
      </c>
      <c r="D2" t="s">
        <v>64</v>
      </c>
      <c r="E2" t="s">
        <v>70</v>
      </c>
      <c r="F2" t="str">
        <f>IF('3. Presets matrix'!A4="","",'3. Presets matrix'!A4)</f>
        <v>Staff roster &amp; profiles</v>
      </c>
      <c r="G2" t="s">
        <v>71</v>
      </c>
    </row>
    <row r="3" spans="1:7" x14ac:dyDescent="0.25">
      <c r="A3" t="s">
        <v>72</v>
      </c>
      <c r="B3" t="s">
        <v>73</v>
      </c>
      <c r="C3" t="s">
        <v>34</v>
      </c>
      <c r="D3" t="s">
        <v>33</v>
      </c>
      <c r="E3" t="s">
        <v>105</v>
      </c>
      <c r="F3" t="str">
        <f>IF('3. Presets matrix'!A5="","",'3. Presets matrix'!A5)</f>
        <v>Hire &amp; deactivate staff</v>
      </c>
      <c r="G3" t="s">
        <v>72</v>
      </c>
    </row>
    <row r="4" spans="1:7" x14ac:dyDescent="0.25">
      <c r="A4" t="s">
        <v>73</v>
      </c>
      <c r="C4" t="s">
        <v>39</v>
      </c>
      <c r="D4" t="s">
        <v>66</v>
      </c>
      <c r="E4" t="s">
        <v>109</v>
      </c>
      <c r="F4" t="str">
        <f>IF('3. Presets matrix'!A6="","",'3. Presets matrix'!A6)</f>
        <v>Staff compliance file &amp; training</v>
      </c>
      <c r="G4" t="s">
        <v>110</v>
      </c>
    </row>
    <row r="5" spans="1:7" x14ac:dyDescent="0.25">
      <c r="A5" t="s">
        <v>106</v>
      </c>
      <c r="C5" t="s">
        <v>44</v>
      </c>
      <c r="D5" t="s">
        <v>346</v>
      </c>
      <c r="F5" t="str">
        <f>IF('3. Presets matrix'!A7="","",'3. Presets matrix'!A7)</f>
        <v>Clients &amp; charts</v>
      </c>
      <c r="G5" t="s">
        <v>106</v>
      </c>
    </row>
    <row r="6" spans="4:7" x14ac:dyDescent="0.25">
      <c r="D6" t="s">
        <v>65</v>
      </c>
      <c r="F6" t="str">
        <f>IF('3. Presets matrix'!A8="","",'3. Presets matrix'!A8)</f>
        <v>Client medical &amp; medications</v>
      </c>
      <c r="G6" t="s">
        <v>261</v>
      </c>
    </row>
    <row r="7" spans="4:6" x14ac:dyDescent="0.25">
      <c r="D7" t="s">
        <v>67</v>
      </c>
      <c r="F7" t="str">
        <f>IF('3. Presets matrix'!A9="","",'3. Presets matrix'!A9)</f>
        <v>Documentation review</v>
      </c>
    </row>
    <row r="8" spans="4:6" x14ac:dyDescent="0.25">
      <c r="D8" t="s">
        <v>124</v>
      </c>
      <c r="F8" t="str">
        <f>IF('3. Presets matrix'!A10="","",'3. Presets matrix'!A10)</f>
        <v>Incidents</v>
      </c>
    </row>
    <row r="9" spans="4:6" x14ac:dyDescent="0.25">
      <c r="D9" t="s">
        <v>48</v>
      </c>
      <c r="F9" t="str">
        <f>IF('3. Presets matrix'!A11="","",'3. Presets matrix'!A11)</f>
        <v>HRC / rights restrictions</v>
      </c>
    </row>
    <row r="10" spans="4:6" x14ac:dyDescent="0.25">
      <c r="D10" t="s">
        <v>347</v>
      </c>
      <c r="F10" t="str">
        <f>IF('3. Presets matrix'!A12="","",'3. Presets matrix'!A12)</f>
        <v>Scheduling</v>
      </c>
    </row>
    <row r="11" spans="4:6" x14ac:dyDescent="0.25">
      <c r="D11" t="s">
        <v>348</v>
      </c>
      <c r="F11" t="str">
        <f>IF('3. Presets matrix'!A13="","",'3. Presets matrix'!A13)</f>
        <v>Timesheets &amp; EVV</v>
      </c>
    </row>
    <row r="12" spans="4:6" x14ac:dyDescent="0.25">
      <c r="D12" t="s">
        <v>349</v>
      </c>
      <c r="F12" t="str">
        <f>IF('3. Presets matrix'!A14="","",'3. Presets matrix'!A14)</f>
        <v>Billing</v>
      </c>
    </row>
    <row r="13" spans="4:6" x14ac:dyDescent="0.25">
      <c r="D13" t="s">
        <v>350</v>
      </c>
      <c r="F13" t="str">
        <f>IF('3. Presets matrix'!A15="","",'3. Presets matrix'!A15)</f>
        <v>Payroll</v>
      </c>
    </row>
    <row r="14" spans="4:6" x14ac:dyDescent="0.25">
      <c r="D14" t="s">
        <v>43</v>
      </c>
      <c r="F14" t="str">
        <f>IF('3. Presets matrix'!A16="","",'3. Presets matrix'!A16)</f>
        <v>Financial reports</v>
      </c>
    </row>
    <row r="15" spans="6:6" x14ac:dyDescent="0.25">
      <c r="F15" t="str">
        <f>IF('3. Presets matrix'!A17="","",'3. Presets matrix'!A17)</f>
        <v>Reports, analytics &amp; audit trail</v>
      </c>
    </row>
    <row r="16" spans="6:6" x14ac:dyDescent="0.25">
      <c r="F16" t="str">
        <f>IF('3. Presets matrix'!A18="","",'3. Presets matrix'!A18)</f>
        <v>Hosts &amp; referrals</v>
      </c>
    </row>
    <row r="17" spans="6:6" x14ac:dyDescent="0.25">
      <c r="F17" t="str">
        <f>IF('3. Presets matrix'!A19="","",'3. Presets matrix'!A19)</f>
        <v>Employee loans</v>
      </c>
    </row>
    <row r="18" spans="6:6" x14ac:dyDescent="0.25">
      <c r="F18" t="str">
        <f>IF('3. Presets matrix'!A20="","",'3. Presets matrix'!A20)</f>
        <v>Agency settings &amp; permissions</v>
      </c>
    </row>
    <row r="19" spans="6:6" x14ac:dyDescent="0.25">
      <c r="F19" t="str">
        <f>IF('3. Presets matrix'!A21="","",'3. Presets matrix'!A21)</f>
        <v>Phone app basics</v>
      </c>
    </row>
    <row r="20" spans="6:6" x14ac:dyDescent="0.25">
      <c r="F20" t="str">
        <f>IF('3. Presets matrix'!A22="","",'3. Presets matrix'!A22)</f>
        <v/>
      </c>
    </row>
    <row r="21" spans="6:6" x14ac:dyDescent="0.25">
      <c r="F21" t="str">
        <f>IF('3. Presets matrix'!A23="","",'3. Presets matrix'!A23)</f>
        <v/>
      </c>
    </row>
    <row r="22" spans="6:6" x14ac:dyDescent="0.25">
      <c r="F22" t="str">
        <f>IF('3. Presets matrix'!A24="","",'3. Presets matrix'!A24)</f>
        <v/>
      </c>
    </row>
    <row r="23" spans="6:6" x14ac:dyDescent="0.25">
      <c r="F23" t="str">
        <f>IF('3. Presets matrix'!A25="","",'3. Presets matrix'!A25)</f>
        <v/>
      </c>
    </row>
    <row r="24" spans="6:6" x14ac:dyDescent="0.25">
      <c r="F24" t="s">
        <v>260</v>
      </c>
    </row>
    <row r="36" spans="1:1" x14ac:dyDescent="0.25">
      <c r="A36" s="20" t="s">
        <v>351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 How it works</vt:lpstr>
      <vt:lpstr>2. Access levels</vt:lpstr>
      <vt:lpstr>3. Presets matrix</vt:lpstr>
      <vt:lpstr>4. Scope rules</vt:lpstr>
      <vt:lpstr>5. Old 83 to new</vt:lpstr>
      <vt:lpstr>6. Count check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HIVE</dc:creator>
  <dc:title/>
  <dc:subject/>
  <dc:description/>
  <cp:keywords/>
  <cp:category/>
  <cp:lastModifiedBy>Unknown</cp:lastModifiedBy>
  <dcterms:created xsi:type="dcterms:W3CDTF">2026-09-24T21:35:00Z</dcterms:created>
  <dcterms:modified xsi:type="dcterms:W3CDTF">2026-09-24T21:35:00Z</dcterms:modified>
</cp:coreProperties>
</file>